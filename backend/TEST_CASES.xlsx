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worksheet+xml" PartName="/xl/worksheets/sheet9.xml"/>
  <Override ContentType="application/vnd.openxmlformats-officedocument.spreadsheetml.table+xml" PartName="/xl/tables/table9.xml"/>
  <Override ContentType="application/vnd.openxmlformats-officedocument.spreadsheetml.worksheet+xml" PartName="/xl/worksheets/sheet10.xml"/>
  <Override ContentType="application/vnd.openxmlformats-officedocument.spreadsheetml.table+xml" PartName="/xl/tables/table10.xml"/>
  <Override ContentType="application/vnd.openxmlformats-officedocument.spreadsheetml.worksheet+xml" PartName="/xl/worksheets/sheet11.xml"/>
  <Override ContentType="application/vnd.openxmlformats-officedocument.spreadsheetml.table+xml" PartName="/xl/tables/table11.xml"/>
  <Override ContentType="application/vnd.openxmlformats-officedocument.spreadsheetml.worksheet+xml" PartName="/xl/worksheets/sheet12.xml"/>
  <Override ContentType="application/vnd.openxmlformats-officedocument.spreadsheetml.table+xml" PartName="/xl/tables/table12.xml"/>
  <Override ContentType="application/vnd.openxmlformats-officedocument.spreadsheetml.worksheet+xml" PartName="/xl/worksheets/sheet13.xml"/>
  <Override ContentType="application/vnd.openxmlformats-officedocument.spreadsheetml.table+xml" PartName="/xl/tables/table13.xml"/>
  <Override ContentType="application/vnd.openxmlformats-officedocument.spreadsheetml.worksheet+xml" PartName="/xl/worksheets/sheet14.xml"/>
  <Override ContentType="application/vnd.openxmlformats-officedocument.spreadsheetml.table+xml" PartName="/xl/tables/table14.xml"/>
  <Override ContentType="application/vnd.openxmlformats-officedocument.spreadsheetml.worksheet+xml" PartName="/xl/worksheets/sheet15.xml"/>
  <Override ContentType="application/vnd.openxmlformats-officedocument.spreadsheetml.table+xml" PartName="/xl/tables/table15.xml"/>
  <Override ContentType="application/vnd.openxmlformats-officedocument.spreadsheetml.worksheet+xml" PartName="/xl/worksheets/sheet16.xml"/>
  <Override ContentType="application/vnd.openxmlformats-officedocument.spreadsheetml.table+xml" PartName="/xl/tables/table16.xml"/>
  <Override ContentType="application/vnd.openxmlformats-officedocument.spreadsheetml.worksheet+xml" PartName="/xl/worksheets/sheet17.xml"/>
  <Override ContentType="application/vnd.openxmlformats-officedocument.spreadsheetml.table+xml" PartName="/xl/tables/table17.xml"/>
  <Override ContentType="application/vnd.openxmlformats-officedocument.spreadsheetml.worksheet+xml" PartName="/xl/worksheets/sheet18.xml"/>
  <Override ContentType="application/vnd.openxmlformats-officedocument.spreadsheetml.table+xml" PartName="/xl/tables/table1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gn-off" sheetId="1" r:id="rId1"/>
    <sheet name="Summary" sheetId="2" r:id="rId3"/>
    <sheet name="0. Smoke Pack" sheetId="3" r:id="rId4"/>
    <sheet name="1. Authentication" sheetId="4" r:id="rId5"/>
    <sheet name="2. Property Module" sheetId="5" r:id="rId6"/>
    <sheet name="3. Unit Module" sheetId="6" r:id="rId7"/>
    <sheet name="4. Tenant + Civil ID" sheetId="7" r:id="rId8"/>
    <sheet name="5. Lease Module" sheetId="8" r:id="rId9"/>
    <sheet name="6. Invoices" sheetId="9" r:id="rId10"/>
    <sheet name="7. Payments" sheetId="10" r:id="rId11"/>
    <sheet name="8. Maintenance" sheetId="11" r:id="rId12"/>
    <sheet name="9. Documents" sheetId="12" r:id="rId13"/>
    <sheet name="10. Reports" sheetId="13" r:id="rId14"/>
    <sheet name="11. Tenant Portal" sheetId="14" r:id="rId15"/>
    <sheet name="12. Role-Based Access" sheetId="15" r:id="rId16"/>
    <sheet name="13. Edge Cases" sheetId="16" r:id="rId17"/>
    <sheet name="14. Performance" sheetId="17" r:id="rId18"/>
    <sheet name="15. Cross-Browser" sheetId="18" r:id="rId19"/>
  </sheets>
  <calcPr fullCalcOnLoad="1"/>
</workbook>
</file>

<file path=xl/sharedStrings.xml><?xml version="1.0" encoding="utf-8"?>
<sst xmlns="http://schemas.openxmlformats.org/spreadsheetml/2006/main" count="618" uniqueCount="618">
  <si>
    <t>Field</t>
  </si>
  <si>
    <t>Value</t>
  </si>
  <si>
    <t>Project</t>
  </si>
  <si>
    <t>RentCollection (ALRTAM)</t>
  </si>
  <si>
    <t>Sprint / Version</t>
  </si>
  <si>
    <t>Sprint 23</t>
  </si>
  <si>
    <t>Test cycle</t>
  </si>
  <si>
    <t>Cycle ___ of ___</t>
  </si>
  <si>
    <t>Tester name</t>
  </si>
  <si>
    <t/>
  </si>
  <si>
    <t>Build / commit hash</t>
  </si>
  <si>
    <t>Environment</t>
  </si>
  <si>
    <t>demo / pre-prod / prod</t>
  </si>
  <si>
    <t>Browser</t>
  </si>
  <si>
    <t>Start date</t>
  </si>
  <si>
    <t>End date</t>
  </si>
  <si>
    <t>Sign-off (tester)</t>
  </si>
  <si>
    <t>Sign-off (TL)</t>
  </si>
  <si>
    <t>Sign-off (PM)</t>
  </si>
  <si>
    <t>Section</t>
  </si>
  <si>
    <t>Total</t>
  </si>
  <si>
    <t>P0</t>
  </si>
  <si>
    <t>P1</t>
  </si>
  <si>
    <t>P2</t>
  </si>
  <si>
    <t>Pass</t>
  </si>
  <si>
    <t>Fail</t>
  </si>
  <si>
    <t>Blocked</t>
  </si>
  <si>
    <t>Not Run</t>
  </si>
  <si>
    <t>Percent Done</t>
  </si>
  <si>
    <t>0. Smoke Pack</t>
  </si>
  <si>
    <t>1. Authentication</t>
  </si>
  <si>
    <t>2. Property Module</t>
  </si>
  <si>
    <t>3. Unit Module</t>
  </si>
  <si>
    <t>4. Tenant + Civil ID</t>
  </si>
  <si>
    <t>5. Lease Module</t>
  </si>
  <si>
    <t>6. Invoices</t>
  </si>
  <si>
    <t>7. Payments</t>
  </si>
  <si>
    <t>8. Maintenance</t>
  </si>
  <si>
    <t>9. Documents</t>
  </si>
  <si>
    <t>10. Reports</t>
  </si>
  <si>
    <t>11. Tenant Portal</t>
  </si>
  <si>
    <t>12. Role-Based Access</t>
  </si>
  <si>
    <t>13. Edge Cases</t>
  </si>
  <si>
    <t>14. Performance</t>
  </si>
  <si>
    <t>TOTAL</t>
  </si>
  <si>
    <t>ID</t>
  </si>
  <si>
    <t>Title</t>
  </si>
  <si>
    <t>Priority</t>
  </si>
  <si>
    <t>Preconditions</t>
  </si>
  <si>
    <t>Steps</t>
  </si>
  <si>
    <t>Expected Result</t>
  </si>
  <si>
    <t>Actual Result</t>
  </si>
  <si>
    <t>Result</t>
  </si>
  <si>
    <t>Tester</t>
  </si>
  <si>
    <t>Date</t>
  </si>
  <si>
    <t>Bug ID</t>
  </si>
  <si>
    <t>Notes</t>
  </si>
  <si>
    <t>SMK-01</t>
  </si>
  <si>
    <t>Login page renders</t>
  </si>
  <si>
    <t>Logged out</t>
  </si>
  <si>
    <t>Visit /Account/Login</t>
  </si>
  <si>
    <t>Page loads with ALRTAM logo + Civil ID + Email fields visible</t>
  </si>
  <si>
    <t>SMK-02</t>
  </si>
  <si>
    <t>Admin can sign in</t>
  </si>
  <si>
    <t>On login page</t>
  </si>
  <si>
    <t>Click Fill demo credentials then Sign in</t>
  </si>
  <si>
    <t>Redirects to /Dashboard, sidebar visible, user name top-right</t>
  </si>
  <si>
    <t>SMK-03</t>
  </si>
  <si>
    <t>Dashboard KPIs load</t>
  </si>
  <si>
    <t>Logged in as Admin</t>
  </si>
  <si>
    <t>View /Dashboard</t>
  </si>
  <si>
    <t>Tiles show numbers (not dashes or error icons)</t>
  </si>
  <si>
    <t>SMK-04</t>
  </si>
  <si>
    <t>ALRTAM logo top-right</t>
  </si>
  <si>
    <t>Logged in</t>
  </si>
  <si>
    <t>View top header</t>
  </si>
  <si>
    <t>ALRATM logo visible on right of top header</t>
  </si>
  <si>
    <t>SMK-05</t>
  </si>
  <si>
    <t>Tenant Create page renders</t>
  </si>
  <si>
    <t>Sidebar then Tenants then Add Tenant</t>
  </si>
  <si>
    <t>3 zones visible: Essentials (open), More details (collapsed), Documents</t>
  </si>
  <si>
    <t>SMK-06</t>
  </si>
  <si>
    <t>Tenant portal login renders</t>
  </si>
  <si>
    <t>Go to /TenantPortal/Login</t>
  </si>
  <si>
    <t>Tenant-styled login page renders</t>
  </si>
  <si>
    <t>SMK-07</t>
  </si>
  <si>
    <t>Logout works</t>
  </si>
  <si>
    <t>Top-right user dropdown then Logout</t>
  </si>
  <si>
    <t>Redirects back to login page</t>
  </si>
  <si>
    <t>AUTH-01</t>
  </si>
  <si>
    <t>Valid admin login</t>
  </si>
  <si>
    <t>Enter admin@test.com / Admin@123 then Sign in</t>
  </si>
  <si>
    <t>Redirected to Dashboard</t>
  </si>
  <si>
    <t>AUTH-02</t>
  </si>
  <si>
    <t>Invalid password</t>
  </si>
  <si>
    <t>Enter admin@test.com / wrong then Sign in</t>
  </si>
  <si>
    <t>Same page, red error Invalid email or password</t>
  </si>
  <si>
    <t>AUTH-03</t>
  </si>
  <si>
    <t>Empty email validation</t>
  </si>
  <si>
    <t>Leave email blank then Sign in</t>
  </si>
  <si>
    <t>Inline validation Required below field</t>
  </si>
  <si>
    <t>AUTH-04</t>
  </si>
  <si>
    <t>Demo credentials auto-fills</t>
  </si>
  <si>
    <t>Click Fill demo credentials</t>
  </si>
  <si>
    <t>Email and password fields populated</t>
  </si>
  <si>
    <t>AUTH-05</t>
  </si>
  <si>
    <t>Show / hide password toggle</t>
  </si>
  <si>
    <t>Type password then click eye icon</t>
  </si>
  <si>
    <t>Password becomes visible; icon flips to crossed-eye</t>
  </si>
  <si>
    <t>AUTH-06</t>
  </si>
  <si>
    <t>Remember-me 12h persistence</t>
  </si>
  <si>
    <t>Tick Remember me then Sign in, close browser, reopen, visit /Dashboard</t>
  </si>
  <si>
    <t>Still logged in (no redirect to login)</t>
  </si>
  <si>
    <t>AUTH-07</t>
  </si>
  <si>
    <t>Forgot password link</t>
  </si>
  <si>
    <t>Click Forgot password</t>
  </si>
  <si>
    <t>/Account/ForgotPassword opens, email input shown</t>
  </si>
  <si>
    <t>AUTH-08</t>
  </si>
  <si>
    <t>Tenant blocked from staff portal</t>
  </si>
  <si>
    <t>At /Account/Login enter tenant credentials</t>
  </si>
  <si>
    <t>Rejected: This account is a tenant; use the tenant portal</t>
  </si>
  <si>
    <t>AUTH-09</t>
  </si>
  <si>
    <t>Logout drops auth cookie</t>
  </si>
  <si>
    <t>Top-right then Logout</t>
  </si>
  <si>
    <t>Cookie removed, redirected to login, sidebar gone</t>
  </si>
  <si>
    <t>AUTH-10</t>
  </si>
  <si>
    <t>Direct URL while logged out redirects</t>
  </si>
  <si>
    <t>Visit /Properties directly</t>
  </si>
  <si>
    <t>302 to /Account/Login?ReturnUrl=/Properties</t>
  </si>
  <si>
    <t>PROP-01</t>
  </si>
  <si>
    <t>Property list loads</t>
  </si>
  <si>
    <t>Sidebar then Properties</t>
  </si>
  <si>
    <t>Grid of cards or table with KPI tiles at top</t>
  </si>
  <si>
    <t>PROP-02</t>
  </si>
  <si>
    <t>Create property Essentials only</t>
  </si>
  <si>
    <t>On /Properties</t>
  </si>
  <si>
    <t>Click Add Property, fill Name + PACI + Type=Apartment + Governorate + Units=10 + Company, Save</t>
  </si>
  <si>
    <t>Redirected to Index, new property in list</t>
  </si>
  <si>
    <t>PROP-03</t>
  </si>
  <si>
    <t>Required field missing blocks save</t>
  </si>
  <si>
    <t>On Create form</t>
  </si>
  <si>
    <t>Leave PACI blank then Save</t>
  </si>
  <si>
    <t>Inline error chip Required under PACI; no save</t>
  </si>
  <si>
    <t>PROP-04</t>
  </si>
  <si>
    <t>More details toggle</t>
  </si>
  <si>
    <t>Click More details caret</t>
  </si>
  <si>
    <t>Section expands, Address/Valuation/Management fields shown</t>
  </si>
  <si>
    <t>PROP-05</t>
  </si>
  <si>
    <t>Save and add another</t>
  </si>
  <si>
    <t>Fill Essentials then click Save and add another</t>
  </si>
  <si>
    <t>Form clears, green chip Property X saved</t>
  </si>
  <si>
    <t>PROP-06</t>
  </si>
  <si>
    <t>Draft autosave and restore</t>
  </si>
  <si>
    <t>Type Name + PACI, close tab, reopen Create form</t>
  </si>
  <si>
    <t>Fields pre-populated, green Draft restored chip</t>
  </si>
  <si>
    <t>PROP-07</t>
  </si>
  <si>
    <t>Upload document on create</t>
  </si>
  <si>
    <t>Fill Essentials then Documents zone with Type=Deed and a PDF, Save</t>
  </si>
  <si>
    <t>Property saved, Document linked in /Documents</t>
  </si>
  <si>
    <t>PROP-08</t>
  </si>
  <si>
    <t>Edit property</t>
  </si>
  <si>
    <t>Property exists</t>
  </si>
  <si>
    <t>Open property then Edit, change Name, Save</t>
  </si>
  <si>
    <t>List shows new name</t>
  </si>
  <si>
    <t>PROP-09</t>
  </si>
  <si>
    <t>Property details page</t>
  </si>
  <si>
    <t>Click row</t>
  </si>
  <si>
    <t>Details shows all fields, attached units, documents</t>
  </si>
  <si>
    <t>PROP-10</t>
  </si>
  <si>
    <t>Delete blocked when units exist</t>
  </si>
  <si>
    <t>Property with units</t>
  </si>
  <si>
    <t>Try Delete</t>
  </si>
  <si>
    <t>Blocked: Cannot delete property with active units</t>
  </si>
  <si>
    <t>PROP-11</t>
  </si>
  <si>
    <t>Duplicate PACI rejected</t>
  </si>
  <si>
    <t>Property with PACI=X exists</t>
  </si>
  <si>
    <t>Create another property with PACI=X</t>
  </si>
  <si>
    <t>Friendly error (not 500): A property with this PACI already exists</t>
  </si>
  <si>
    <t>UNIT-01</t>
  </si>
  <si>
    <t>Unit list loads</t>
  </si>
  <si>
    <t>Sidebar then Units</t>
  </si>
  <si>
    <t>Table loads, Add button visible top-right</t>
  </si>
  <si>
    <t>UNIT-02</t>
  </si>
  <si>
    <t>Create unit without rent</t>
  </si>
  <si>
    <t>New Unit, fill Number and Bedrooms, leave MonthlyRent blank, Save</t>
  </si>
  <si>
    <t>Saves (rent optional at unit-level)</t>
  </si>
  <si>
    <t>UNIT-03</t>
  </si>
  <si>
    <t>Duplicate Property+UnitNumber blocked</t>
  </si>
  <si>
    <t>Unit exists</t>
  </si>
  <si>
    <t>Create unit with same Property + UnitNumber</t>
  </si>
  <si>
    <t>Friendly error, not SqlException</t>
  </si>
  <si>
    <t>UNIT-04</t>
  </si>
  <si>
    <t>Unit status reflects active lease</t>
  </si>
  <si>
    <t>Active lease on unit</t>
  </si>
  <si>
    <t>Open unit details</t>
  </si>
  <si>
    <t>Status = Occupied (not Vacant)</t>
  </si>
  <si>
    <t>UNIT-05</t>
  </si>
  <si>
    <t>Lease pre-fill from Unit</t>
  </si>
  <si>
    <t>Vacant unit</t>
  </si>
  <si>
    <t>Open vacant unit then click Create Lease</t>
  </si>
  <si>
    <t>/Leases/Create?unitId=X opens with Property + Unit pre-selected</t>
  </si>
  <si>
    <t>TEN-01</t>
  </si>
  <si>
    <t>Tenant list loads</t>
  </si>
  <si>
    <t>Sidebar then Tenants</t>
  </si>
  <si>
    <t>Table with KPIs at top</t>
  </si>
  <si>
    <t>TEN-02</t>
  </si>
  <si>
    <t>Civil ID format validation</t>
  </si>
  <si>
    <t>Type Civil ID = 12345 then Tab out</t>
  </si>
  <si>
    <t>Red chip Civil ID must be 12 digits</t>
  </si>
  <si>
    <t>TEN-03</t>
  </si>
  <si>
    <t>Civil ID checksum + DOB auto-fill</t>
  </si>
  <si>
    <t>Enter valid 12-digit Civil ID</t>
  </si>
  <si>
    <t>Green chip Civil ID validated DOB pre-filled, DOB populated</t>
  </si>
  <si>
    <t>TEN-04</t>
  </si>
  <si>
    <t>Civil ID checksum mismatch warning</t>
  </si>
  <si>
    <t>Enter 12-digit ID with wrong checksum</t>
  </si>
  <si>
    <t>Amber Checksum mismatch double-check the number, DOB still pre-filled</t>
  </si>
  <si>
    <t>TEN-05</t>
  </si>
  <si>
    <t>Civil ID scan requires consent</t>
  </si>
  <si>
    <t>Gemini enabled</t>
  </si>
  <si>
    <t>Click Scan card without ticking consent</t>
  </si>
  <si>
    <t>Red message Please tick the consent box first</t>
  </si>
  <si>
    <t>TEN-06</t>
  </si>
  <si>
    <t>Civil ID scan fills name + DOB</t>
  </si>
  <si>
    <t>Tick consent then click Scan card then upload Civil ID image</t>
  </si>
  <si>
    <t>Status Reading card then green Card read; First/Last Name, DOB filled with amber border</t>
  </si>
  <si>
    <t>TEN-07</t>
  </si>
  <si>
    <t>Civil ID scan rejects oversized file</t>
  </si>
  <si>
    <t>Upload a 6 MB file</t>
  </si>
  <si>
    <t>Red File too large max 5 MB</t>
  </si>
  <si>
    <t>TEN-08</t>
  </si>
  <si>
    <t>Civil ID enrichment disabled message</t>
  </si>
  <si>
    <t>Gemini disabled</t>
  </si>
  <si>
    <t>Try to scan</t>
  </si>
  <si>
    <t>Civil ID enrichment is disabled contact admin</t>
  </si>
  <si>
    <t>TEN-09</t>
  </si>
  <si>
    <t>Required Essentials block save</t>
  </si>
  <si>
    <t>Leave First Name blank then Save</t>
  </si>
  <si>
    <t>Red chip on First Name; no save</t>
  </si>
  <si>
    <t>TEN-10</t>
  </si>
  <si>
    <t>CompanyId auto-assigned (no picker)</t>
  </si>
  <si>
    <t>New Tenant form</t>
  </si>
  <si>
    <t>No Company picker visible; on save tenant gets admin CompanyId</t>
  </si>
  <si>
    <t>TEN-11</t>
  </si>
  <si>
    <t>Tenant document upload on create</t>
  </si>
  <si>
    <t>Add document Type=Civil ID + file, Save</t>
  </si>
  <si>
    <t>Document linked to tenant, visible in /Documents</t>
  </si>
  <si>
    <t>TEN-12</t>
  </si>
  <si>
    <t>Save and add another (Tenant)</t>
  </si>
  <si>
    <t>Click Save and add another</t>
  </si>
  <si>
    <t>Form clears, green chip Tenant X saved</t>
  </si>
  <si>
    <t>TEN-13</t>
  </si>
  <si>
    <t>Edit tenant</t>
  </si>
  <si>
    <t>Tenant exists</t>
  </si>
  <si>
    <t>Open tenant then Edit, change phone, Save</t>
  </si>
  <si>
    <t>Updated phone in details</t>
  </si>
  <si>
    <t>TEN-14</t>
  </si>
  <si>
    <t>Cross-company isolation</t>
  </si>
  <si>
    <t>2 admins from 2 cos</t>
  </si>
  <si>
    <t>Admin from Co A opens /Tenants/Details/{id-from-Co-B}</t>
  </si>
  <si>
    <t>404 or 403 never Co B data</t>
  </si>
  <si>
    <t>LSE-01</t>
  </si>
  <si>
    <t>Lease list loads</t>
  </si>
  <si>
    <t>Sidebar then Leases</t>
  </si>
  <si>
    <t>Active leases table loads</t>
  </si>
  <si>
    <t>LSE-02</t>
  </si>
  <si>
    <t>Create lease happy path (no deposit)</t>
  </si>
  <si>
    <t>Vacant unit + tenant</t>
  </si>
  <si>
    <t>New Lease, pick Building then Unit then Tenant, dates, rent=300, deposit=0, Save</t>
  </si>
  <si>
    <t>Saved as Active; unit Occupied; redirect to Index</t>
  </si>
  <si>
    <t>LSE-03</t>
  </si>
  <si>
    <t>Create lease with deposit then Pending</t>
  </si>
  <si>
    <t>Same as LSE-02 but deposit=500</t>
  </si>
  <si>
    <t>Saved as Pending; banner issue deposit invoice via Activate</t>
  </si>
  <si>
    <t>LSE-04</t>
  </si>
  <si>
    <t>Building then Unit cascade filters</t>
  </si>
  <si>
    <t>Multiple buildings</t>
  </si>
  <si>
    <t>Pick Building A then check Unit dropdown</t>
  </si>
  <si>
    <t>Only Building A vacant units shown</t>
  </si>
  <si>
    <t>LSE-05</t>
  </si>
  <si>
    <t>Cannot lease occupied unit</t>
  </si>
  <si>
    <t>Occupied unit</t>
  </si>
  <si>
    <t>Create another lease on same unit</t>
  </si>
  <si>
    <t>Friendly error, not duplicate-key SqlException</t>
  </si>
  <si>
    <t>LSE-06</t>
  </si>
  <si>
    <t>End date after start date</t>
  </si>
  <si>
    <t>New form</t>
  </si>
  <si>
    <t>Set end date before start date, Save</t>
  </si>
  <si>
    <t>Validation error chip</t>
  </si>
  <si>
    <t>LSE-07</t>
  </si>
  <si>
    <t>Insurance None means no insurance</t>
  </si>
  <si>
    <t>Frequency=None, Save</t>
  </si>
  <si>
    <t>Saves; no insurance invoices</t>
  </si>
  <si>
    <t>LSE-08</t>
  </si>
  <si>
    <t>Insurance Monthly</t>
  </si>
  <si>
    <t>Frequency=Monthly Amount=10, Save, trigger daily job</t>
  </si>
  <si>
    <t>Monthly insurance invoice issued separate from rent</t>
  </si>
  <si>
    <t>LSE-09</t>
  </si>
  <si>
    <t>Activate Pending lease</t>
  </si>
  <si>
    <t>Pending lease</t>
  </si>
  <si>
    <t>Open lease then Activate</t>
  </si>
  <si>
    <t>Status Active; deposit invoice issued; unit Occupied</t>
  </si>
  <si>
    <t>LSE-10</t>
  </si>
  <si>
    <t>Terminate active lease</t>
  </si>
  <si>
    <t>Active lease</t>
  </si>
  <si>
    <t>Open lease then Terminate, enter reason, Confirm</t>
  </si>
  <si>
    <t>Status Terminated; unit Vacant; refund record queued</t>
  </si>
  <si>
    <t>LSE-11</t>
  </si>
  <si>
    <t>Lease document upload on create</t>
  </si>
  <si>
    <t>Add Signed Lease PDF, Save</t>
  </si>
  <si>
    <t>PDF linked to lease in /Documents</t>
  </si>
  <si>
    <t>LSE-12</t>
  </si>
  <si>
    <t>Save and add another (Lease)</t>
  </si>
  <si>
    <t>Form clears, green chip Lease saved</t>
  </si>
  <si>
    <t>INV-01</t>
  </si>
  <si>
    <t>Invoice list loads</t>
  </si>
  <si>
    <t>Sidebar then Invoices</t>
  </si>
  <si>
    <t>Table, filters (Status, Date, Tenant), totals KPIs</t>
  </si>
  <si>
    <t>INV-02</t>
  </si>
  <si>
    <t>Daily rent invoicing creates invoice</t>
  </si>
  <si>
    <t>Active lease DueDay=today</t>
  </si>
  <si>
    <t>Wait for 02:00 UTC job or trigger via /hangfire</t>
  </si>
  <si>
    <t>New invoice type=Rent for today amount appears</t>
  </si>
  <si>
    <t>INV-03</t>
  </si>
  <si>
    <t>No double-invoicing on job retry</t>
  </si>
  <si>
    <t>After INV-02</t>
  </si>
  <si>
    <t>Trigger the job again</t>
  </si>
  <si>
    <t>No duplicate invoice (idempotency)</t>
  </si>
  <si>
    <t>INV-04</t>
  </si>
  <si>
    <t>Late fee added after grace period</t>
  </si>
  <si>
    <t>Unpaid invoice past due</t>
  </si>
  <si>
    <t>Wait for late-fee job (02:30 UTC)</t>
  </si>
  <si>
    <t>New invoice type=LateFee amount = LateFeeAmount</t>
  </si>
  <si>
    <t>INV-05</t>
  </si>
  <si>
    <t>Invoice PDF generates</t>
  </si>
  <si>
    <t>Open invoice</t>
  </si>
  <si>
    <t>Click Download PDF</t>
  </si>
  <si>
    <t>Branded PDF (gold + black, ALRTAM logo, 3-decimal KWD)</t>
  </si>
  <si>
    <t>INV-06</t>
  </si>
  <si>
    <t>Invoice email queued</t>
  </si>
  <si>
    <t>New invoice issued</t>
  </si>
  <si>
    <t>Check Notifications table</t>
  </si>
  <si>
    <t>Pending notification of channel=Email exists</t>
  </si>
  <si>
    <t>PAY-C-01</t>
  </si>
  <si>
    <t>Record cash payment</t>
  </si>
  <si>
    <t>Unpaid invoice</t>
  </si>
  <si>
    <t>Open invoice then Record Cash, enter amount + receipt no, Save</t>
  </si>
  <si>
    <t>Payment Confirmed; invoice Paid; balance = 0</t>
  </si>
  <si>
    <t>PAY-C-02</t>
  </si>
  <si>
    <t>Cash partial payment</t>
  </si>
  <si>
    <t>Unpaid invoice (300)</t>
  </si>
  <si>
    <t>Enter amount=200</t>
  </si>
  <si>
    <t>Invoice PartiallyPaid balance=100</t>
  </si>
  <si>
    <t>PAY-C-03</t>
  </si>
  <si>
    <t>Cash overpayment rejected</t>
  </si>
  <si>
    <t>Enter amount=400</t>
  </si>
  <si>
    <t>Friendly error Amount exceeds invoice balance</t>
  </si>
  <si>
    <t>PAY-B-01</t>
  </si>
  <si>
    <t>Tenant uploads transfer screenshot</t>
  </si>
  <si>
    <t>Tenant + invoice</t>
  </si>
  <si>
    <t>Open invoice then Pay by Bank Transfer, upload PNG, Submit</t>
  </si>
  <si>
    <t>Payment Pending Approval; invoice unchanged</t>
  </si>
  <si>
    <t>PAY-B-02</t>
  </si>
  <si>
    <t>Accountant sees in approval queue</t>
  </si>
  <si>
    <t>After PAY-B-01</t>
  </si>
  <si>
    <t>Accountant then /PaymentApproval</t>
  </si>
  <si>
    <t>Row shows tenant, amount, screenshot link</t>
  </si>
  <si>
    <t>PAY-B-03</t>
  </si>
  <si>
    <t>Approve bank transfer</t>
  </si>
  <si>
    <t>Pending in queue</t>
  </si>
  <si>
    <t>Open row then Approve</t>
  </si>
  <si>
    <t>Payment Confirmed; invoice Paid; receipt email queued</t>
  </si>
  <si>
    <t>PAY-B-04</t>
  </si>
  <si>
    <t>Reject bank transfer with note</t>
  </si>
  <si>
    <t>Open row then Reject, enter note, Submit</t>
  </si>
  <si>
    <t>Payment Rejected; tenant sees note in portal</t>
  </si>
  <si>
    <t>PAY-K-01</t>
  </si>
  <si>
    <t>K-NET sandbox happy path</t>
  </si>
  <si>
    <t>UseSandbox=true, invoice</t>
  </si>
  <si>
    <t>Pay with K-NET, use test card, return</t>
  </si>
  <si>
    <t>Returned to /api/payments/knet/response; payment Confirmed</t>
  </si>
  <si>
    <t>PAY-K-02</t>
  </si>
  <si>
    <t>K-NET cancelled by user</t>
  </si>
  <si>
    <t>Same</t>
  </si>
  <si>
    <t>On K-NET form click Cancel</t>
  </si>
  <si>
    <t>Returned to error URL; invoice unchanged</t>
  </si>
  <si>
    <t>PAY-K-03</t>
  </si>
  <si>
    <t>K-NET duplicate guard</t>
  </si>
  <si>
    <t>Submit same payment twice within 1s</t>
  </si>
  <si>
    <t>Second rejected by PaymentIdempotencies</t>
  </si>
  <si>
    <t>PAY-K-04</t>
  </si>
  <si>
    <t>K-NET reconciliation recovers</t>
  </si>
  <si>
    <t>Unknown K-NET payment</t>
  </si>
  <si>
    <t>Wait for 03:00 UTC reconcile job</t>
  </si>
  <si>
    <t>Status updated based on gateway truth</t>
  </si>
  <si>
    <t>MNT-01</t>
  </si>
  <si>
    <t>Tenant raises request</t>
  </si>
  <si>
    <t>Tenant logged in</t>
  </si>
  <si>
    <t>Tenant portal then Maintenance then New, fill issue + photo, Submit</t>
  </si>
  <si>
    <t>Request in /Maintenance with status=Open</t>
  </si>
  <si>
    <t>MNT-02</t>
  </si>
  <si>
    <t>Manager assigns vendor</t>
  </si>
  <si>
    <t>Open request</t>
  </si>
  <si>
    <t>Open request then Assign, pick vendor + priority + ETA, Save</t>
  </si>
  <si>
    <t>Status Assigned, vendor name shown</t>
  </si>
  <si>
    <t>MNT-03</t>
  </si>
  <si>
    <t>Mark complete with photos</t>
  </si>
  <si>
    <t>Assigned request</t>
  </si>
  <si>
    <t>Open then Mark Complete, upload after-photos + cost, Save</t>
  </si>
  <si>
    <t>Status Completed; cost stored</t>
  </si>
  <si>
    <t>MNT-04</t>
  </si>
  <si>
    <t>Photos visible to tenant</t>
  </si>
  <si>
    <t>Completed request</t>
  </si>
  <si>
    <t>Tenant portal then request</t>
  </si>
  <si>
    <t>Tenant sees before + after photos</t>
  </si>
  <si>
    <t>MNT-05</t>
  </si>
  <si>
    <t>Dashboard open-maint KPI accurate</t>
  </si>
  <si>
    <t>Several requests</t>
  </si>
  <si>
    <t>Compare KPI to /Maintenance Open filter</t>
  </si>
  <si>
    <t>Numbers match</t>
  </si>
  <si>
    <t>DOC-01</t>
  </si>
  <si>
    <t>Document browser loads</t>
  </si>
  <si>
    <t>Sidebar then Documents</t>
  </si>
  <si>
    <t>List of documents, filter by Type/Entity</t>
  </si>
  <si>
    <t>DOC-02</t>
  </si>
  <si>
    <t>Download document</t>
  </si>
  <si>
    <t>Document exists</t>
  </si>
  <si>
    <t>Click row then Download</t>
  </si>
  <si>
    <t>File downloads, opens</t>
  </si>
  <si>
    <t>DOC-03</t>
  </si>
  <si>
    <t>Doc linked to multiple entities</t>
  </si>
  <si>
    <t>Civil ID on tenant + lease</t>
  </si>
  <si>
    <t>Open document details</t>
  </si>
  <si>
    <t>Linked to list shows both</t>
  </si>
  <si>
    <t>DOC-04</t>
  </si>
  <si>
    <t>Delete document removes file</t>
  </si>
  <si>
    <t>Delete</t>
  </si>
  <si>
    <t>File gone from disk + DB; cascade DocumentLink rows</t>
  </si>
  <si>
    <t>DOC-05</t>
  </si>
  <si>
    <t>Reject oversized upload</t>
  </si>
  <si>
    <t>Upload 12 MB file</t>
  </si>
  <si>
    <t>Friendly error, not 500</t>
  </si>
  <si>
    <t>DOC-06</t>
  </si>
  <si>
    <t>Reject wrong extension</t>
  </si>
  <si>
    <t>Upload .exe</t>
  </si>
  <si>
    <t>Friendly error</t>
  </si>
  <si>
    <t>RPT-01</t>
  </si>
  <si>
    <t>Rent collection by month Excel</t>
  </si>
  <si>
    <t>Reports then Rent Collection, pick date range, Export Excel</t>
  </si>
  <si>
    <t>.xlsx downloads, opens cleanly, KWD 3 decimals</t>
  </si>
  <si>
    <t>RPT-02</t>
  </si>
  <si>
    <t>Outstanding invoices PDF</t>
  </si>
  <si>
    <t>Reports then Outstanding, Export PDF</t>
  </si>
  <si>
    <t>PDF branded, aged buckets correct</t>
  </si>
  <si>
    <t>RPT-03</t>
  </si>
  <si>
    <t>Tenant ledger</t>
  </si>
  <si>
    <t>Tenant with history</t>
  </si>
  <si>
    <t>Open tenant then Ledger</t>
  </si>
  <si>
    <t>Chronological invoices + payments + running balance</t>
  </si>
  <si>
    <t>RPT-04</t>
  </si>
  <si>
    <t>Filter by Property</t>
  </si>
  <si>
    <t>Multiple props</t>
  </si>
  <si>
    <t>Reports then pick Property A, Generate</t>
  </si>
  <si>
    <t>Only Property A data</t>
  </si>
  <si>
    <t>RPT-05</t>
  </si>
  <si>
    <t>Filter respects company isolation</t>
  </si>
  <si>
    <t>Multi-co setup</t>
  </si>
  <si>
    <t>Admin of Co A then any report</t>
  </si>
  <si>
    <t>Only Co A data, never Co B</t>
  </si>
  <si>
    <t>TP-01</t>
  </si>
  <si>
    <t>Tenant login</t>
  </si>
  <si>
    <t>Tenant credentials</t>
  </si>
  <si>
    <t>Visit /TenantPortal/Login then Sign in</t>
  </si>
  <si>
    <t>Tenant dashboard loads</t>
  </si>
  <si>
    <t>TP-02</t>
  </si>
  <si>
    <t>Dashboard next rent due</t>
  </si>
  <si>
    <t>Tenant with lease</t>
  </si>
  <si>
    <t>After login</t>
  </si>
  <si>
    <t>Amount + due date + days-to-due visible</t>
  </si>
  <si>
    <t>TP-03</t>
  </si>
  <si>
    <t>View unpaid invoice</t>
  </si>
  <si>
    <t>Invoices then open</t>
  </si>
  <si>
    <t>Amount, due date, Pay button visible</t>
  </si>
  <si>
    <t>TP-04</t>
  </si>
  <si>
    <t>Pay with K-NET button visible</t>
  </si>
  <si>
    <t>Same as TP-03</t>
  </si>
  <si>
    <t>K-NET button present</t>
  </si>
  <si>
    <t>TP-05</t>
  </si>
  <si>
    <t>Raise maintenance request</t>
  </si>
  <si>
    <t>Maintenance then New then Submit</t>
  </si>
  <si>
    <t>Request created</t>
  </si>
  <si>
    <t>TP-06</t>
  </si>
  <si>
    <t>Upload tenant document</t>
  </si>
  <si>
    <t>Documents then Upload</t>
  </si>
  <si>
    <t>Document saved, visible in their list</t>
  </si>
  <si>
    <t>TP-07</t>
  </si>
  <si>
    <t>View receipt PDF</t>
  </si>
  <si>
    <t>Paid invoice</t>
  </si>
  <si>
    <t>Invoices then Paid then Download receipt</t>
  </si>
  <si>
    <t>Branded PDF</t>
  </si>
  <si>
    <t>TP-08</t>
  </si>
  <si>
    <t>Cannot see other tenants data</t>
  </si>
  <si>
    <t>Tenant A logged in</t>
  </si>
  <si>
    <t>URL /TenantPortal/Invoice/{B-invoice-id}</t>
  </si>
  <si>
    <t>404 or 403</t>
  </si>
  <si>
    <t>RBAC-01</t>
  </si>
  <si>
    <t>Manager blocked from /Users</t>
  </si>
  <si>
    <t>Logged in as Manager</t>
  </si>
  <si>
    <t>Try /Users</t>
  </si>
  <si>
    <t>403 or hidden in sidebar</t>
  </si>
  <si>
    <t>RBAC-02</t>
  </si>
  <si>
    <t>Manager blocked from /Payments</t>
  </si>
  <si>
    <t>Try /Payments</t>
  </si>
  <si>
    <t>RBAC-03</t>
  </si>
  <si>
    <t>Manager allowed /Properties</t>
  </si>
  <si>
    <t>/Properties</t>
  </si>
  <si>
    <t>Allowed</t>
  </si>
  <si>
    <t>RBAC-04</t>
  </si>
  <si>
    <t>Accountant view-only Maintenance</t>
  </si>
  <si>
    <t>Logged in as Accountant</t>
  </si>
  <si>
    <t>/Maintenance</t>
  </si>
  <si>
    <t>View only (no create button)</t>
  </si>
  <si>
    <t>RBAC-05</t>
  </si>
  <si>
    <t>Accountant allowed Reports</t>
  </si>
  <si>
    <t>/Reports</t>
  </si>
  <si>
    <t>RBAC-06</t>
  </si>
  <si>
    <t>Accountant blocked from Audit</t>
  </si>
  <si>
    <t>/Audit</t>
  </si>
  <si>
    <t>RBAC-07</t>
  </si>
  <si>
    <t>Admin allowed Hangfire</t>
  </si>
  <si>
    <t>/hangfire</t>
  </si>
  <si>
    <t>RBAC-08</t>
  </si>
  <si>
    <t>Manager blocked Hangfire</t>
  </si>
  <si>
    <t>RBAC-09</t>
  </si>
  <si>
    <t>Tenant blocked staff dashboard</t>
  </si>
  <si>
    <t>Logged in as Tenant</t>
  </si>
  <si>
    <t>/Dashboard</t>
  </si>
  <si>
    <t>403 or redirect to tenant portal</t>
  </si>
  <si>
    <t>RBAC-10</t>
  </si>
  <si>
    <t>Anon blocked from civilid API</t>
  </si>
  <si>
    <t>GET /api/civilid/parse?id=...</t>
  </si>
  <si>
    <t>EDGE-01</t>
  </si>
  <si>
    <t>XSS in tenant name</t>
  </si>
  <si>
    <t>Tenant name = script-tag injection, Save, View list</t>
  </si>
  <si>
    <t>Saved literally, rendered escaped, no JS execution</t>
  </si>
  <si>
    <t>EDGE-02</t>
  </si>
  <si>
    <t>SQL injection in search</t>
  </si>
  <si>
    <t>Search: drop-table payload</t>
  </si>
  <si>
    <t>No error; tables intact</t>
  </si>
  <si>
    <t>EDGE-03</t>
  </si>
  <si>
    <t>Long string overflow</t>
  </si>
  <si>
    <t>FirstName = 500 chars</t>
  </si>
  <si>
    <t>Truncated or friendly error, not 500</t>
  </si>
  <si>
    <t>EDGE-04</t>
  </si>
  <si>
    <t>Negative rent</t>
  </si>
  <si>
    <t>New lease</t>
  </si>
  <si>
    <t>Rent = -100, Save</t>
  </si>
  <si>
    <t>Validation error</t>
  </si>
  <si>
    <t>EDGE-05</t>
  </si>
  <si>
    <t>Payment in closed period</t>
  </si>
  <si>
    <t>Closed period</t>
  </si>
  <si>
    <t>Try cash payment for closed period</t>
  </si>
  <si>
    <t>Blocked with reason</t>
  </si>
  <si>
    <t>EDGE-06</t>
  </si>
  <si>
    <t>Unicode tenant name (Arabic)</t>
  </si>
  <si>
    <t>New tenant</t>
  </si>
  <si>
    <t>Name = Arabic characters, Save</t>
  </si>
  <si>
    <t>Saved and displayed correctly</t>
  </si>
  <si>
    <t>EDGE-07</t>
  </si>
  <si>
    <t>Future DOB</t>
  </si>
  <si>
    <t>DOB = 2030-01-01</t>
  </si>
  <si>
    <t>EDGE-08</t>
  </si>
  <si>
    <t>Concurrent edit</t>
  </si>
  <si>
    <t>Open same tenant in 2 tabs, Edit differently, Save both</t>
  </si>
  <si>
    <t>Stale-data warning OR last-write logged</t>
  </si>
  <si>
    <t>EDGE-09</t>
  </si>
  <si>
    <t>Browser back after submit</t>
  </si>
  <si>
    <t>Submit then Back button</t>
  </si>
  <si>
    <t>No duplicate submission</t>
  </si>
  <si>
    <t>EDGE-10</t>
  </si>
  <si>
    <t>Session expiry mid-edit</t>
  </si>
  <si>
    <t>Wait 13 hrs then Submit</t>
  </si>
  <si>
    <t>Redirect to login, no data loss (draft restored)</t>
  </si>
  <si>
    <t>PERF-01</t>
  </si>
  <si>
    <t>Login page first paint</t>
  </si>
  <si>
    <t>Cold start</t>
  </si>
  <si>
    <t>Open /Account/Login</t>
  </si>
  <si>
    <t>Under 1.5s dev / 3s SmarterASP</t>
  </si>
  <si>
    <t>PERF-02</t>
  </si>
  <si>
    <t>Dashboard load</t>
  </si>
  <si>
    <t>Open /Dashboard</t>
  </si>
  <si>
    <t>Under 2s</t>
  </si>
  <si>
    <t>PERF-03</t>
  </si>
  <si>
    <t>Tenant list 500+ rows</t>
  </si>
  <si>
    <t>Open /Tenants</t>
  </si>
  <si>
    <t>Under 3s; pagination works</t>
  </si>
  <si>
    <t>PERF-04</t>
  </si>
  <si>
    <t>Civil ID parse round-trip</t>
  </si>
  <si>
    <t>On form</t>
  </si>
  <si>
    <t>Type 12-digit ID</t>
  </si>
  <si>
    <t>Under 500ms response</t>
  </si>
  <si>
    <t>PERF-05</t>
  </si>
  <si>
    <t>Civil ID Gemini scan</t>
  </si>
  <si>
    <t>Upload Civil ID image</t>
  </si>
  <si>
    <t>Under 6s end-to-end</t>
  </si>
  <si>
    <t>PERF-06</t>
  </si>
  <si>
    <t>Invoice PDF generation</t>
  </si>
  <si>
    <t>Download PDF</t>
  </si>
  <si>
    <t>OS</t>
  </si>
  <si>
    <t>Smoke Pass</t>
  </si>
  <si>
    <t>Chrome (latest)</t>
  </si>
  <si>
    <t>Windows 11</t>
  </si>
  <si>
    <t>Edge (latest)</t>
  </si>
  <si>
    <t>Firefox (latest)</t>
  </si>
  <si>
    <t>Safari (iOS 16+)</t>
  </si>
  <si>
    <t>iPhone</t>
  </si>
  <si>
    <t>Chrome (Android 12+)</t>
  </si>
  <si>
    <t>Android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</si>
</sst>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b/>
      <sz val="11"/>
      <color rgb="FFC9A647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A647" tint="0"/>
      </patternFill>
    </fill>
    <fill>
      <patternFill patternType="solid">
        <fgColor rgb="FF0B0B0B" tint="0"/>
      </patternFill>
    </fill>
    <fill>
      <patternFill patternType="solid">
        <fgColor rgb="FFF0F0F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xfId="0" applyProtection="1" applyAlignment="1">
      <alignment vertical="top" wrapText="1"/>
    </xf>
    <xf numFmtId="0" applyNumberFormat="1" fontId="3" applyFont="1" fillId="3" applyFill="1" xfId="0" applyProtection="1"/>
    <xf numFmtId="9" applyNumberFormat="1" fontId="0" applyFont="1" xfId="0" applyProtection="1"/>
    <xf numFmtId="0" applyNumberFormat="1" fontId="1" applyFont="1" fillId="4" applyFill="1" xfId="0" applyProtection="1"/>
    <xf numFmtId="9" applyNumberFormat="1" fontId="1" applyFont="1" fillId="4" applyFill="1" xfId="0" applyProtection="1"/>
  </cellXfs>
  <cellStyles count="1">
    <cellStyle name="Normal" xfId="0" builtinId="0"/>
  </cellStyles>
  <dxfs count="7">
    <d:dxf xmlns:d="http://schemas.openxmlformats.org/spreadsheetml/2006/main">
      <fill>
        <patternFill patternType="solid">
          <bgColor rgb="ffc6efce"/>
        </patternFill>
      </fill>
    </d:dxf>
    <d:dxf xmlns:d="http://schemas.openxmlformats.org/spreadsheetml/2006/main">
      <fill>
        <patternFill patternType="solid">
          <bgColor rgb="ffffc7ce"/>
        </patternFill>
      </fill>
    </d:dxf>
    <d:dxf xmlns:d="http://schemas.openxmlformats.org/spreadsheetml/2006/main">
      <fill>
        <patternFill patternType="solid">
          <bgColor rgb="ffffeb9c"/>
        </patternFill>
      </fill>
    </d:dxf>
    <d:dxf xmlns:d="http://schemas.openxmlformats.org/spreadsheetml/2006/main">
      <fill>
        <patternFill patternType="solid">
          <bgColor rgb="ffe6e6e6"/>
        </patternFill>
      </fill>
    </d:dxf>
    <d:dxf xmlns:d="http://schemas.openxmlformats.org/spreadsheetml/2006/main">
      <font>
        <b val="1"/>
        <color rgb="ffc00000"/>
      </font>
    </d:dxf>
    <d:dxf xmlns:d="http://schemas.openxmlformats.org/spreadsheetml/2006/main">
      <font>
        <color rgb="ffbd8000"/>
      </font>
    </d:dxf>
    <d:dxf xmlns:d="http://schemas.openxmlformats.org/spreadsheetml/2006/main">
      <font>
        <color rgb="ff595959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Signoff" displayName="tblSignoff" ref="A1:B13" headerRowCount="1">
  <autoFilter ref="A1:B13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Summary" displayName="tblSummary" ref="A1:J17" headerRowCount="1">
  <autoFilter ref="A1:J17"/>
  <tableColumns count="10">
    <tableColumn id="1" name="Section"/>
    <tableColumn id="2" name="Total"/>
    <tableColumn id="3" name="P0"/>
    <tableColumn id="4" name="P1"/>
    <tableColumn id="5" name="P2"/>
    <tableColumn id="6" name="Pass"/>
    <tableColumn id="7" name="Fail"/>
    <tableColumn id="8" name="Blocked"/>
    <tableColumn id="9" name="Not Run"/>
    <tableColumn id="10" name="Percent D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_0__Smoke_Pack" displayName="tbl_0__Smoke_Pack" ref="A1:L8" headerRowCount="1">
  <autoFilter ref="A1:L8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_1__Authentication" displayName="tbl_1__Authentication" ref="A1:L11" headerRowCount="1">
  <autoFilter ref="A1:L11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_2__Property_Module" displayName="tbl_2__Property_Module" ref="A1:L12" headerRowCount="1">
  <autoFilter ref="A1:L12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bl_3__Unit_Module" displayName="tbl_3__Unit_Module" ref="A1:L6" headerRowCount="1">
  <autoFilter ref="A1:L6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bl_4__Tenant___Civil_ID" displayName="tbl_4__Tenant___Civil_ID" ref="A1:L15" headerRowCount="1">
  <autoFilter ref="A1:L15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bl_5__Lease_Module" displayName="tbl_5__Lease_Module" ref="A1:L13" headerRowCount="1">
  <autoFilter ref="A1:L13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bl_6__Invoices" displayName="tbl_6__Invoices" ref="A1:L7" headerRowCount="1">
  <autoFilter ref="A1:L7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bl_7__Payments" displayName="tbl_7__Payments" ref="A1:L12" headerRowCount="1">
  <autoFilter ref="A1:L12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bl_8__Maintenance" displayName="tbl_8__Maintenance" ref="A1:L6" headerRowCount="1">
  <autoFilter ref="A1:L6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bl_9__Documents" displayName="tbl_9__Documents" ref="A1:L7" headerRowCount="1">
  <autoFilter ref="A1:L7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bl_10__Reports" displayName="tbl_10__Reports" ref="A1:L6" headerRowCount="1">
  <autoFilter ref="A1:L6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bl_11__Tenant_Portal" displayName="tbl_11__Tenant_Portal" ref="A1:L9" headerRowCount="1">
  <autoFilter ref="A1:L9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bl_12__Role_Based_Access" displayName="tbl_12__Role_Based_Access" ref="A1:L11" headerRowCount="1">
  <autoFilter ref="A1:L11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bl_13__Edge_Cases" displayName="tbl_13__Edge_Cases" ref="A1:L11" headerRowCount="1">
  <autoFilter ref="A1:L11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bl_14__Performance" displayName="tbl_14__Performance" ref="A1:L7" headerRowCount="1">
  <autoFilter ref="A1:L7"/>
  <tableColumns count="12">
    <tableColumn id="1" name="ID"/>
    <tableColumn id="2" name="Title"/>
    <tableColumn id="3" name="Priority"/>
    <tableColumn id="4" name="Preconditions"/>
    <tableColumn id="5" name="Steps"/>
    <tableColumn id="6" name="Expected Result"/>
    <tableColumn id="7" name="Actual Result"/>
    <tableColumn id="8" name="Result"/>
    <tableColumn id="9" name="Tester"/>
    <tableColumn id="10" name="Date"/>
    <tableColumn id="11" name="Bug ID"/>
    <tableColumn id="12" name="Note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blBrowsers" displayName="tblBrowsers" ref="A1:D6" headerRowCount="1">
  <autoFilter ref="A1:D6"/>
  <tableColumns count="4">
    <tableColumn id="1" name="Browser"/>
    <tableColumn id="2" name="OS"/>
    <tableColumn id="3" name="Smoke Pass"/>
    <tableColumn id="4" name="Notes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" customWidth="1"/>
    <col min="2" max="2" width="50" customWidth="1"/>
  </cols>
  <sheetData>
    <row r="1">
      <c r="A1" s="4" t="s">
        <v>0</v>
      </c>
      <c r="B1" s="4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9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9</v>
      </c>
    </row>
    <row r="9">
      <c r="A9" s="0" t="s">
        <v>14</v>
      </c>
      <c r="B9" s="0" t="s">
        <v>9</v>
      </c>
    </row>
    <row r="10">
      <c r="A10" s="0" t="s">
        <v>15</v>
      </c>
      <c r="B10" s="0" t="s">
        <v>9</v>
      </c>
    </row>
    <row r="11">
      <c r="A11" s="0" t="s">
        <v>16</v>
      </c>
      <c r="B11" s="0" t="s">
        <v>9</v>
      </c>
    </row>
    <row r="12">
      <c r="A12" s="0" t="s">
        <v>17</v>
      </c>
      <c r="B12" s="0" t="s">
        <v>9</v>
      </c>
    </row>
    <row r="13">
      <c r="A13" s="0" t="s">
        <v>18</v>
      </c>
      <c r="B13" s="0" t="s">
        <v>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755794525146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0.745379447937" customWidth="1"/>
    <col min="9" max="9" width="11.0113763809204" customWidth="1"/>
    <col min="10" max="10" width="15.8146677017212" customWidth="1"/>
  </cols>
  <sheetData>
    <row r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</row>
    <row r="2">
      <c r="A2" s="0" t="s">
        <v>29</v>
      </c>
      <c r="B2" s="0">
        <v>7</v>
      </c>
      <c r="C2" s="0">
        <v>4</v>
      </c>
      <c r="D2" s="0">
        <v>3</v>
      </c>
      <c r="E2" s="0">
        <v>0</v>
      </c>
      <c r="F2" s="0">
        <f>COUNTIF('0. Smoke Pack'!H:H,"Pass")</f>
      </c>
      <c r="G2" s="0">
        <f>COUNTIF('0. Smoke Pack'!H:H,"Fail")</f>
      </c>
      <c r="H2" s="0">
        <f>COUNTIF('0. Smoke Pack'!H:H,"Blocked")</f>
      </c>
      <c r="I2" s="0">
        <f>B2-F2-G2-H2</f>
      </c>
      <c r="J2" s="5">
        <f>IF(B2=0,0,(F2+G2+H2)/B2)</f>
      </c>
    </row>
    <row r="3">
      <c r="A3" s="0" t="s">
        <v>30</v>
      </c>
      <c r="B3" s="0">
        <v>10</v>
      </c>
      <c r="C3" s="0">
        <v>5</v>
      </c>
      <c r="D3" s="0">
        <v>3</v>
      </c>
      <c r="E3" s="0">
        <v>2</v>
      </c>
      <c r="F3" s="0">
        <f>COUNTIF('1. Authentication'!H:H,"Pass")</f>
      </c>
      <c r="G3" s="0">
        <f>COUNTIF('1. Authentication'!H:H,"Fail")</f>
      </c>
      <c r="H3" s="0">
        <f>COUNTIF('1. Authentication'!H:H,"Blocked")</f>
      </c>
      <c r="I3" s="0">
        <f>B3-F3-G3-H3</f>
      </c>
      <c r="J3" s="5">
        <f>IF(B3=0,0,(F3+G3+H3)/B3)</f>
      </c>
    </row>
    <row r="4">
      <c r="A4" s="0" t="s">
        <v>31</v>
      </c>
      <c r="B4" s="0">
        <v>11</v>
      </c>
      <c r="C4" s="0">
        <v>4</v>
      </c>
      <c r="D4" s="0">
        <v>6</v>
      </c>
      <c r="F4" s="0">
        <f>COUNTIF('2. Property Module'!H:H,"Pass")</f>
      </c>
      <c r="G4" s="0">
        <f>COUNTIF('2. Property Module'!H:H,"Fail")</f>
      </c>
      <c r="H4" s="0">
        <f>COUNTIF('2. Property Module'!H:H,"Blocked")</f>
      </c>
      <c r="I4" s="0">
        <f>B4-F4-G4-H4</f>
      </c>
      <c r="J4" s="5">
        <f>IF(B4=0,0,(F4+G4+H4)/B4)</f>
      </c>
    </row>
    <row r="5">
      <c r="A5" s="0" t="s">
        <v>32</v>
      </c>
      <c r="B5" s="0">
        <v>5</v>
      </c>
      <c r="C5" s="0">
        <v>3</v>
      </c>
      <c r="D5" s="0">
        <v>2</v>
      </c>
      <c r="E5" s="0">
        <v>0</v>
      </c>
      <c r="F5" s="0">
        <f>COUNTIF('3. Unit Module'!H:H,"Pass")</f>
      </c>
      <c r="G5" s="0">
        <f>COUNTIF('3. Unit Module'!H:H,"Fail")</f>
      </c>
      <c r="H5" s="0">
        <f>COUNTIF('3. Unit Module'!H:H,"Blocked")</f>
      </c>
      <c r="I5" s="0">
        <f>B5-F5-G5-H5</f>
      </c>
      <c r="J5" s="5">
        <f>IF(B5=0,0,(F5+G5+H5)/B5)</f>
      </c>
    </row>
    <row r="6">
      <c r="A6" s="0" t="s">
        <v>33</v>
      </c>
      <c r="B6" s="0">
        <v>14</v>
      </c>
      <c r="C6" s="0">
        <v>6</v>
      </c>
      <c r="D6" s="0">
        <v>7</v>
      </c>
      <c r="F6" s="0">
        <f>COUNTIF('4. Tenant + Civil ID'!H:H,"Pass")</f>
      </c>
      <c r="G6" s="0">
        <f>COUNTIF('4. Tenant + Civil ID'!H:H,"Fail")</f>
      </c>
      <c r="H6" s="0">
        <f>COUNTIF('4. Tenant + Civil ID'!H:H,"Blocked")</f>
      </c>
      <c r="I6" s="0">
        <f>B6-F6-G6-H6</f>
      </c>
      <c r="J6" s="5">
        <f>IF(B6=0,0,(F6+G6+H6)/B6)</f>
      </c>
    </row>
    <row r="7">
      <c r="A7" s="0" t="s">
        <v>34</v>
      </c>
      <c r="B7" s="0">
        <v>12</v>
      </c>
      <c r="C7" s="0">
        <v>7</v>
      </c>
      <c r="D7" s="0">
        <v>4</v>
      </c>
      <c r="F7" s="0">
        <f>COUNTIF('5. Lease Module'!H:H,"Pass")</f>
      </c>
      <c r="G7" s="0">
        <f>COUNTIF('5. Lease Module'!H:H,"Fail")</f>
      </c>
      <c r="H7" s="0">
        <f>COUNTIF('5. Lease Module'!H:H,"Blocked")</f>
      </c>
      <c r="I7" s="0">
        <f>B7-F7-G7-H7</f>
      </c>
      <c r="J7" s="5">
        <f>IF(B7=0,0,(F7+G7+H7)/B7)</f>
      </c>
    </row>
    <row r="8">
      <c r="A8" s="0" t="s">
        <v>35</v>
      </c>
      <c r="B8" s="0">
        <v>6</v>
      </c>
      <c r="C8" s="0">
        <v>3</v>
      </c>
      <c r="D8" s="0">
        <v>3</v>
      </c>
      <c r="E8" s="0">
        <v>0</v>
      </c>
      <c r="F8" s="0">
        <f>COUNTIF('6. Invoices'!H:H,"Pass")</f>
      </c>
      <c r="G8" s="0">
        <f>COUNTIF('6. Invoices'!H:H,"Fail")</f>
      </c>
      <c r="H8" s="0">
        <f>COUNTIF('6. Invoices'!H:H,"Blocked")</f>
      </c>
      <c r="I8" s="0">
        <f>B8-F8-G8-H8</f>
      </c>
      <c r="J8" s="5">
        <f>IF(B8=0,0,(F8+G8+H8)/B8)</f>
      </c>
    </row>
    <row r="9">
      <c r="A9" s="0" t="s">
        <v>36</v>
      </c>
      <c r="B9" s="0">
        <v>11</v>
      </c>
      <c r="C9" s="0">
        <v>6</v>
      </c>
      <c r="D9" s="0">
        <v>5</v>
      </c>
      <c r="E9" s="0">
        <v>0</v>
      </c>
      <c r="F9" s="0">
        <f>COUNTIF('7. Payments'!H:H,"Pass")</f>
      </c>
      <c r="G9" s="0">
        <f>COUNTIF('7. Payments'!H:H,"Fail")</f>
      </c>
      <c r="H9" s="0">
        <f>COUNTIF('7. Payments'!H:H,"Blocked")</f>
      </c>
      <c r="I9" s="0">
        <f>B9-F9-G9-H9</f>
      </c>
      <c r="J9" s="5">
        <f>IF(B9=0,0,(F9+G9+H9)/B9)</f>
      </c>
    </row>
    <row r="10">
      <c r="A10" s="0" t="s">
        <v>37</v>
      </c>
      <c r="B10" s="0">
        <v>5</v>
      </c>
      <c r="C10" s="0">
        <v>2</v>
      </c>
      <c r="D10" s="0">
        <v>2</v>
      </c>
      <c r="F10" s="0">
        <f>COUNTIF('8. Maintenance'!H:H,"Pass")</f>
      </c>
      <c r="G10" s="0">
        <f>COUNTIF('8. Maintenance'!H:H,"Fail")</f>
      </c>
      <c r="H10" s="0">
        <f>COUNTIF('8. Maintenance'!H:H,"Blocked")</f>
      </c>
      <c r="I10" s="0">
        <f>B10-F10-G10-H10</f>
      </c>
      <c r="J10" s="5">
        <f>IF(B10=0,0,(F10+G10+H10)/B10)</f>
      </c>
    </row>
    <row r="11">
      <c r="A11" s="0" t="s">
        <v>38</v>
      </c>
      <c r="B11" s="0">
        <v>6</v>
      </c>
      <c r="C11" s="0">
        <v>0</v>
      </c>
      <c r="D11" s="0">
        <v>5</v>
      </c>
      <c r="F11" s="0">
        <f>COUNTIF('9. Documents'!H:H,"Pass")</f>
      </c>
      <c r="G11" s="0">
        <f>COUNTIF('9. Documents'!H:H,"Fail")</f>
      </c>
      <c r="H11" s="0">
        <f>COUNTIF('9. Documents'!H:H,"Blocked")</f>
      </c>
      <c r="I11" s="0">
        <f>B11-F11-G11-H11</f>
      </c>
      <c r="J11" s="5">
        <f>IF(B11=0,0,(F11+G11+H11)/B11)</f>
      </c>
    </row>
    <row r="12">
      <c r="A12" s="0" t="s">
        <v>39</v>
      </c>
      <c r="B12" s="0">
        <v>5</v>
      </c>
      <c r="D12" s="0">
        <v>4</v>
      </c>
      <c r="E12" s="0">
        <v>0</v>
      </c>
      <c r="F12" s="0">
        <f>COUNTIF('10. Reports'!H:H,"Pass")</f>
      </c>
      <c r="G12" s="0">
        <f>COUNTIF('10. Reports'!H:H,"Fail")</f>
      </c>
      <c r="H12" s="0">
        <f>COUNTIF('10. Reports'!H:H,"Blocked")</f>
      </c>
      <c r="I12" s="0">
        <f>B12-F12-G12-H12</f>
      </c>
      <c r="J12" s="5">
        <f>IF(B12=0,0,(F12+G12+H12)/B12)</f>
      </c>
    </row>
    <row r="13">
      <c r="A13" s="0" t="s">
        <v>40</v>
      </c>
      <c r="B13" s="0">
        <v>8</v>
      </c>
      <c r="C13" s="0">
        <v>6</v>
      </c>
      <c r="D13" s="0">
        <v>2</v>
      </c>
      <c r="E13" s="0">
        <v>0</v>
      </c>
      <c r="F13" s="0">
        <f>COUNTIF('11. Tenant Portal'!H:H,"Pass")</f>
      </c>
      <c r="G13" s="0">
        <f>COUNTIF('11. Tenant Portal'!H:H,"Fail")</f>
      </c>
      <c r="H13" s="0">
        <f>COUNTIF('11. Tenant Portal'!H:H,"Blocked")</f>
      </c>
      <c r="I13" s="0">
        <f>B13-F13-G13-H13</f>
      </c>
      <c r="J13" s="5">
        <f>IF(B13=0,0,(F13+G13+H13)/B13)</f>
      </c>
    </row>
    <row r="14">
      <c r="A14" s="0" t="s">
        <v>41</v>
      </c>
      <c r="B14" s="0">
        <v>10</v>
      </c>
      <c r="C14" s="0">
        <v>7</v>
      </c>
      <c r="D14" s="0">
        <v>3</v>
      </c>
      <c r="E14" s="0">
        <v>0</v>
      </c>
      <c r="F14" s="0">
        <f>COUNTIF('12. Role-Based Access'!H:H,"Pass")</f>
      </c>
      <c r="G14" s="0">
        <f>COUNTIF('12. Role-Based Access'!H:H,"Fail")</f>
      </c>
      <c r="H14" s="0">
        <f>COUNTIF('12. Role-Based Access'!H:H,"Blocked")</f>
      </c>
      <c r="I14" s="0">
        <f>B14-F14-G14-H14</f>
      </c>
      <c r="J14" s="5">
        <f>IF(B14=0,0,(F14+G14+H14)/B14)</f>
      </c>
    </row>
    <row r="15">
      <c r="A15" s="0" t="s">
        <v>42</v>
      </c>
      <c r="B15" s="0">
        <v>10</v>
      </c>
      <c r="C15" s="0">
        <v>2</v>
      </c>
      <c r="D15" s="0">
        <v>5</v>
      </c>
      <c r="E15" s="0">
        <v>3</v>
      </c>
      <c r="F15" s="0">
        <f>COUNTIF('13. Edge Cases'!H:H,"Pass")</f>
      </c>
      <c r="G15" s="0">
        <f>COUNTIF('13. Edge Cases'!H:H,"Fail")</f>
      </c>
      <c r="H15" s="0">
        <f>COUNTIF('13. Edge Cases'!H:H,"Blocked")</f>
      </c>
      <c r="I15" s="0">
        <f>B15-F15-G15-H15</f>
      </c>
      <c r="J15" s="5">
        <f>IF(B15=0,0,(F15+G15+H15)/B15)</f>
      </c>
    </row>
    <row r="16">
      <c r="A16" s="0" t="s">
        <v>43</v>
      </c>
      <c r="B16" s="0">
        <v>6</v>
      </c>
      <c r="C16" s="0">
        <v>0</v>
      </c>
      <c r="D16" s="0">
        <v>6</v>
      </c>
      <c r="E16" s="0">
        <v>0</v>
      </c>
      <c r="F16" s="0">
        <f>COUNTIF('14. Performance'!H:H,"Pass")</f>
      </c>
      <c r="G16" s="0">
        <f>COUNTIF('14. Performance'!H:H,"Fail")</f>
      </c>
      <c r="H16" s="0">
        <f>COUNTIF('14. Performance'!H:H,"Blocked")</f>
      </c>
      <c r="I16" s="0">
        <f>B16-F16-G16-H16</f>
      </c>
      <c r="J16" s="5">
        <f>IF(B16=0,0,(F16+G16+H16)/B16)</f>
      </c>
    </row>
    <row r="17">
      <c r="A17" s="6" t="s">
        <v>44</v>
      </c>
      <c r="B17" s="6">
        <v>126</v>
      </c>
      <c r="C17" s="6">
        <v>55</v>
      </c>
      <c r="D17" s="6">
        <v>60</v>
      </c>
      <c r="E17" s="6">
        <v>5</v>
      </c>
      <c r="F17" s="6">
        <f>SUM(F2:F16)</f>
      </c>
      <c r="G17" s="6">
        <f>SUM(G2:G16)</f>
      </c>
      <c r="H17" s="6">
        <f>SUM(H2:H16)</f>
      </c>
      <c r="I17" s="6">
        <f>SUM(I2:I16)</f>
      </c>
      <c r="J17" s="7">
        <f>IF(B17=0,0,(F17+G17+H17)/B17)</f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L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57</v>
      </c>
      <c r="B2" s="0" t="s">
        <v>58</v>
      </c>
      <c r="C2" s="0" t="s">
        <v>21</v>
      </c>
      <c r="D2" s="3" t="s">
        <v>59</v>
      </c>
      <c r="E2" s="3" t="s">
        <v>60</v>
      </c>
      <c r="F2" s="3" t="s">
        <v>61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62</v>
      </c>
      <c r="B3" s="0" t="s">
        <v>63</v>
      </c>
      <c r="C3" s="0" t="s">
        <v>21</v>
      </c>
      <c r="D3" s="3" t="s">
        <v>64</v>
      </c>
      <c r="E3" s="3" t="s">
        <v>65</v>
      </c>
      <c r="F3" s="3" t="s">
        <v>66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67</v>
      </c>
      <c r="B4" s="0" t="s">
        <v>68</v>
      </c>
      <c r="C4" s="0" t="s">
        <v>21</v>
      </c>
      <c r="D4" s="3" t="s">
        <v>69</v>
      </c>
      <c r="E4" s="3" t="s">
        <v>70</v>
      </c>
      <c r="F4" s="3" t="s">
        <v>71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72</v>
      </c>
      <c r="B5" s="0" t="s">
        <v>73</v>
      </c>
      <c r="C5" s="0" t="s">
        <v>22</v>
      </c>
      <c r="D5" s="3" t="s">
        <v>74</v>
      </c>
      <c r="E5" s="3" t="s">
        <v>75</v>
      </c>
      <c r="F5" s="3" t="s">
        <v>76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77</v>
      </c>
      <c r="B6" s="0" t="s">
        <v>78</v>
      </c>
      <c r="C6" s="0" t="s">
        <v>21</v>
      </c>
      <c r="D6" s="3" t="s">
        <v>74</v>
      </c>
      <c r="E6" s="3" t="s">
        <v>79</v>
      </c>
      <c r="F6" s="3" t="s">
        <v>80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81</v>
      </c>
      <c r="B7" s="0" t="s">
        <v>82</v>
      </c>
      <c r="C7" s="0" t="s">
        <v>22</v>
      </c>
      <c r="D7" s="3" t="s">
        <v>59</v>
      </c>
      <c r="E7" s="3" t="s">
        <v>83</v>
      </c>
      <c r="F7" s="3" t="s">
        <v>84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85</v>
      </c>
      <c r="B8" s="0" t="s">
        <v>86</v>
      </c>
      <c r="C8" s="0" t="s">
        <v>22</v>
      </c>
      <c r="D8" s="3" t="s">
        <v>74</v>
      </c>
      <c r="E8" s="3" t="s">
        <v>87</v>
      </c>
      <c r="F8" s="3" t="s">
        <v>88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</sheetData>
  <conditionalFormatting sqref="H2:H8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8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8" showErrorMessage="1" errorTitle="Pick one" error="Pass / Fail / Blocked / Not Run">
      <formula1>"Pass,Fail,Blocked,Not Run"</formula1>
    </dataValidation>
    <dataValidation type="list" sqref="C2:C8">
      <formula1>"P0,P1,P2"</formula1>
    </dataValidation>
  </dataValidation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L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89</v>
      </c>
      <c r="B2" s="0" t="s">
        <v>90</v>
      </c>
      <c r="C2" s="0" t="s">
        <v>21</v>
      </c>
      <c r="D2" s="3" t="s">
        <v>59</v>
      </c>
      <c r="E2" s="3" t="s">
        <v>91</v>
      </c>
      <c r="F2" s="3" t="s">
        <v>92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93</v>
      </c>
      <c r="B3" s="0" t="s">
        <v>94</v>
      </c>
      <c r="C3" s="0" t="s">
        <v>21</v>
      </c>
      <c r="D3" s="3" t="s">
        <v>59</v>
      </c>
      <c r="E3" s="3" t="s">
        <v>95</v>
      </c>
      <c r="F3" s="3" t="s">
        <v>96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97</v>
      </c>
      <c r="B4" s="0" t="s">
        <v>98</v>
      </c>
      <c r="C4" s="0" t="s">
        <v>22</v>
      </c>
      <c r="D4" s="3" t="s">
        <v>59</v>
      </c>
      <c r="E4" s="3" t="s">
        <v>99</v>
      </c>
      <c r="F4" s="3" t="s">
        <v>100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101</v>
      </c>
      <c r="B5" s="0" t="s">
        <v>102</v>
      </c>
      <c r="C5" s="0" t="s">
        <v>22</v>
      </c>
      <c r="D5" s="3" t="s">
        <v>59</v>
      </c>
      <c r="E5" s="3" t="s">
        <v>103</v>
      </c>
      <c r="F5" s="3" t="s">
        <v>104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105</v>
      </c>
      <c r="B6" s="0" t="s">
        <v>106</v>
      </c>
      <c r="C6" s="0" t="s">
        <v>23</v>
      </c>
      <c r="D6" s="3" t="s">
        <v>59</v>
      </c>
      <c r="E6" s="3" t="s">
        <v>107</v>
      </c>
      <c r="F6" s="3" t="s">
        <v>108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109</v>
      </c>
      <c r="B7" s="0" t="s">
        <v>110</v>
      </c>
      <c r="C7" s="0" t="s">
        <v>22</v>
      </c>
      <c r="D7" s="3" t="s">
        <v>74</v>
      </c>
      <c r="E7" s="3" t="s">
        <v>111</v>
      </c>
      <c r="F7" s="3" t="s">
        <v>112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113</v>
      </c>
      <c r="B8" s="0" t="s">
        <v>114</v>
      </c>
      <c r="C8" s="0" t="s">
        <v>23</v>
      </c>
      <c r="D8" s="3" t="s">
        <v>59</v>
      </c>
      <c r="E8" s="3" t="s">
        <v>115</v>
      </c>
      <c r="F8" s="3" t="s">
        <v>116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117</v>
      </c>
      <c r="B9" s="0" t="s">
        <v>118</v>
      </c>
      <c r="C9" s="0" t="s">
        <v>21</v>
      </c>
      <c r="D9" s="3" t="s">
        <v>59</v>
      </c>
      <c r="E9" s="3" t="s">
        <v>119</v>
      </c>
      <c r="F9" s="3" t="s">
        <v>120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121</v>
      </c>
      <c r="B10" s="0" t="s">
        <v>122</v>
      </c>
      <c r="C10" s="0" t="s">
        <v>21</v>
      </c>
      <c r="D10" s="3" t="s">
        <v>74</v>
      </c>
      <c r="E10" s="3" t="s">
        <v>123</v>
      </c>
      <c r="F10" s="3" t="s">
        <v>124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125</v>
      </c>
      <c r="B11" s="0" t="s">
        <v>126</v>
      </c>
      <c r="C11" s="0" t="s">
        <v>21</v>
      </c>
      <c r="D11" s="3" t="s">
        <v>59</v>
      </c>
      <c r="E11" s="3" t="s">
        <v>127</v>
      </c>
      <c r="F11" s="3" t="s">
        <v>128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</sheetData>
  <conditionalFormatting sqref="H2:H11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1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1" showErrorMessage="1" errorTitle="Pick one" error="Pass / Fail / Blocked / Not Run">
      <formula1>"Pass,Fail,Blocked,Not Run"</formula1>
    </dataValidation>
    <dataValidation type="list" sqref="C2:C11">
      <formula1>"P0,P1,P2"</formula1>
    </dataValidation>
  </dataValidations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L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129</v>
      </c>
      <c r="B2" s="0" t="s">
        <v>130</v>
      </c>
      <c r="C2" s="0" t="s">
        <v>21</v>
      </c>
      <c r="D2" s="3" t="s">
        <v>69</v>
      </c>
      <c r="E2" s="3" t="s">
        <v>131</v>
      </c>
      <c r="F2" s="3" t="s">
        <v>132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133</v>
      </c>
      <c r="B3" s="0" t="s">
        <v>134</v>
      </c>
      <c r="C3" s="0" t="s">
        <v>21</v>
      </c>
      <c r="D3" s="3" t="s">
        <v>135</v>
      </c>
      <c r="E3" s="3" t="s">
        <v>136</v>
      </c>
      <c r="F3" s="3" t="s">
        <v>137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138</v>
      </c>
      <c r="B4" s="0" t="s">
        <v>139</v>
      </c>
      <c r="C4" s="0" t="s">
        <v>21</v>
      </c>
      <c r="D4" s="3" t="s">
        <v>140</v>
      </c>
      <c r="E4" s="3" t="s">
        <v>141</v>
      </c>
      <c r="F4" s="3" t="s">
        <v>142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143</v>
      </c>
      <c r="B5" s="0" t="s">
        <v>144</v>
      </c>
      <c r="C5" s="0" t="s">
        <v>22</v>
      </c>
      <c r="D5" s="3" t="s">
        <v>140</v>
      </c>
      <c r="E5" s="3" t="s">
        <v>145</v>
      </c>
      <c r="F5" s="3" t="s">
        <v>146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147</v>
      </c>
      <c r="B6" s="0" t="s">
        <v>148</v>
      </c>
      <c r="C6" s="0" t="s">
        <v>22</v>
      </c>
      <c r="D6" s="3" t="s">
        <v>140</v>
      </c>
      <c r="E6" s="3" t="s">
        <v>149</v>
      </c>
      <c r="F6" s="3" t="s">
        <v>150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151</v>
      </c>
      <c r="B7" s="0" t="s">
        <v>152</v>
      </c>
      <c r="C7" s="0" t="s">
        <v>23</v>
      </c>
      <c r="D7" s="3" t="s">
        <v>140</v>
      </c>
      <c r="E7" s="3" t="s">
        <v>153</v>
      </c>
      <c r="F7" s="3" t="s">
        <v>154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155</v>
      </c>
      <c r="B8" s="0" t="s">
        <v>156</v>
      </c>
      <c r="C8" s="0" t="s">
        <v>22</v>
      </c>
      <c r="D8" s="3" t="s">
        <v>140</v>
      </c>
      <c r="E8" s="3" t="s">
        <v>157</v>
      </c>
      <c r="F8" s="3" t="s">
        <v>158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159</v>
      </c>
      <c r="B9" s="0" t="s">
        <v>160</v>
      </c>
      <c r="C9" s="0" t="s">
        <v>22</v>
      </c>
      <c r="D9" s="3" t="s">
        <v>161</v>
      </c>
      <c r="E9" s="3" t="s">
        <v>162</v>
      </c>
      <c r="F9" s="3" t="s">
        <v>163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164</v>
      </c>
      <c r="B10" s="0" t="s">
        <v>165</v>
      </c>
      <c r="C10" s="0" t="s">
        <v>22</v>
      </c>
      <c r="D10" s="3" t="s">
        <v>161</v>
      </c>
      <c r="E10" s="3" t="s">
        <v>166</v>
      </c>
      <c r="F10" s="3" t="s">
        <v>167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168</v>
      </c>
      <c r="B11" s="0" t="s">
        <v>169</v>
      </c>
      <c r="C11" s="0" t="s">
        <v>22</v>
      </c>
      <c r="D11" s="3" t="s">
        <v>170</v>
      </c>
      <c r="E11" s="3" t="s">
        <v>171</v>
      </c>
      <c r="F11" s="3" t="s">
        <v>172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  <row r="12">
      <c r="A12" s="0" t="s">
        <v>173</v>
      </c>
      <c r="B12" s="0" t="s">
        <v>174</v>
      </c>
      <c r="C12" s="0" t="s">
        <v>21</v>
      </c>
      <c r="D12" s="3" t="s">
        <v>175</v>
      </c>
      <c r="E12" s="3" t="s">
        <v>176</v>
      </c>
      <c r="F12" s="3" t="s">
        <v>177</v>
      </c>
      <c r="G12" s="3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3" t="s">
        <v>9</v>
      </c>
    </row>
  </sheetData>
  <conditionalFormatting sqref="H2:H12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2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2" showErrorMessage="1" errorTitle="Pick one" error="Pass / Fail / Blocked / Not Run">
      <formula1>"Pass,Fail,Blocked,Not Run"</formula1>
    </dataValidation>
    <dataValidation type="list" sqref="C2:C12">
      <formula1>"P0,P1,P2"</formula1>
    </dataValidation>
  </dataValidation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L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178</v>
      </c>
      <c r="B2" s="0" t="s">
        <v>179</v>
      </c>
      <c r="C2" s="0" t="s">
        <v>21</v>
      </c>
      <c r="D2" s="3" t="s">
        <v>74</v>
      </c>
      <c r="E2" s="3" t="s">
        <v>180</v>
      </c>
      <c r="F2" s="3" t="s">
        <v>181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182</v>
      </c>
      <c r="B3" s="0" t="s">
        <v>183</v>
      </c>
      <c r="C3" s="0" t="s">
        <v>22</v>
      </c>
      <c r="D3" s="3" t="s">
        <v>161</v>
      </c>
      <c r="E3" s="3" t="s">
        <v>184</v>
      </c>
      <c r="F3" s="3" t="s">
        <v>185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186</v>
      </c>
      <c r="B4" s="0" t="s">
        <v>187</v>
      </c>
      <c r="C4" s="0" t="s">
        <v>21</v>
      </c>
      <c r="D4" s="3" t="s">
        <v>188</v>
      </c>
      <c r="E4" s="3" t="s">
        <v>189</v>
      </c>
      <c r="F4" s="3" t="s">
        <v>190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191</v>
      </c>
      <c r="B5" s="0" t="s">
        <v>192</v>
      </c>
      <c r="C5" s="0" t="s">
        <v>21</v>
      </c>
      <c r="D5" s="3" t="s">
        <v>193</v>
      </c>
      <c r="E5" s="3" t="s">
        <v>194</v>
      </c>
      <c r="F5" s="3" t="s">
        <v>195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196</v>
      </c>
      <c r="B6" s="0" t="s">
        <v>197</v>
      </c>
      <c r="C6" s="0" t="s">
        <v>22</v>
      </c>
      <c r="D6" s="3" t="s">
        <v>198</v>
      </c>
      <c r="E6" s="3" t="s">
        <v>199</v>
      </c>
      <c r="F6" s="3" t="s">
        <v>200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</sheetData>
  <conditionalFormatting sqref="H2:H6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6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6" showErrorMessage="1" errorTitle="Pick one" error="Pass / Fail / Blocked / Not Run">
      <formula1>"Pass,Fail,Blocked,Not Run"</formula1>
    </dataValidation>
    <dataValidation type="list" sqref="C2:C6">
      <formula1>"P0,P1,P2"</formula1>
    </dataValidation>
  </dataValidations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L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201</v>
      </c>
      <c r="B2" s="0" t="s">
        <v>202</v>
      </c>
      <c r="C2" s="0" t="s">
        <v>21</v>
      </c>
      <c r="D2" s="3" t="s">
        <v>74</v>
      </c>
      <c r="E2" s="3" t="s">
        <v>203</v>
      </c>
      <c r="F2" s="3" t="s">
        <v>204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205</v>
      </c>
      <c r="B3" s="0" t="s">
        <v>206</v>
      </c>
      <c r="C3" s="0" t="s">
        <v>21</v>
      </c>
      <c r="D3" s="3" t="s">
        <v>140</v>
      </c>
      <c r="E3" s="3" t="s">
        <v>207</v>
      </c>
      <c r="F3" s="3" t="s">
        <v>208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209</v>
      </c>
      <c r="B4" s="0" t="s">
        <v>210</v>
      </c>
      <c r="C4" s="0" t="s">
        <v>21</v>
      </c>
      <c r="D4" s="3" t="s">
        <v>140</v>
      </c>
      <c r="E4" s="3" t="s">
        <v>211</v>
      </c>
      <c r="F4" s="3" t="s">
        <v>212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213</v>
      </c>
      <c r="B5" s="0" t="s">
        <v>214</v>
      </c>
      <c r="C5" s="0" t="s">
        <v>22</v>
      </c>
      <c r="D5" s="3" t="s">
        <v>140</v>
      </c>
      <c r="E5" s="3" t="s">
        <v>215</v>
      </c>
      <c r="F5" s="3" t="s">
        <v>216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217</v>
      </c>
      <c r="B6" s="0" t="s">
        <v>218</v>
      </c>
      <c r="C6" s="0" t="s">
        <v>22</v>
      </c>
      <c r="D6" s="3" t="s">
        <v>219</v>
      </c>
      <c r="E6" s="3" t="s">
        <v>220</v>
      </c>
      <c r="F6" s="3" t="s">
        <v>221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222</v>
      </c>
      <c r="B7" s="0" t="s">
        <v>223</v>
      </c>
      <c r="C7" s="0" t="s">
        <v>22</v>
      </c>
      <c r="D7" s="3" t="s">
        <v>219</v>
      </c>
      <c r="E7" s="3" t="s">
        <v>224</v>
      </c>
      <c r="F7" s="3" t="s">
        <v>225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226</v>
      </c>
      <c r="B8" s="0" t="s">
        <v>227</v>
      </c>
      <c r="C8" s="0" t="s">
        <v>22</v>
      </c>
      <c r="D8" s="3" t="s">
        <v>219</v>
      </c>
      <c r="E8" s="3" t="s">
        <v>228</v>
      </c>
      <c r="F8" s="3" t="s">
        <v>229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230</v>
      </c>
      <c r="B9" s="0" t="s">
        <v>231</v>
      </c>
      <c r="C9" s="0" t="s">
        <v>23</v>
      </c>
      <c r="D9" s="3" t="s">
        <v>232</v>
      </c>
      <c r="E9" s="3" t="s">
        <v>233</v>
      </c>
      <c r="F9" s="3" t="s">
        <v>234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235</v>
      </c>
      <c r="B10" s="0" t="s">
        <v>236</v>
      </c>
      <c r="C10" s="0" t="s">
        <v>21</v>
      </c>
      <c r="D10" s="3" t="s">
        <v>140</v>
      </c>
      <c r="E10" s="3" t="s">
        <v>237</v>
      </c>
      <c r="F10" s="3" t="s">
        <v>238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239</v>
      </c>
      <c r="B11" s="0" t="s">
        <v>240</v>
      </c>
      <c r="C11" s="0" t="s">
        <v>21</v>
      </c>
      <c r="D11" s="3" t="s">
        <v>69</v>
      </c>
      <c r="E11" s="3" t="s">
        <v>241</v>
      </c>
      <c r="F11" s="3" t="s">
        <v>242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  <row r="12">
      <c r="A12" s="0" t="s">
        <v>243</v>
      </c>
      <c r="B12" s="0" t="s">
        <v>244</v>
      </c>
      <c r="C12" s="0" t="s">
        <v>22</v>
      </c>
      <c r="D12" s="3" t="s">
        <v>140</v>
      </c>
      <c r="E12" s="3" t="s">
        <v>245</v>
      </c>
      <c r="F12" s="3" t="s">
        <v>246</v>
      </c>
      <c r="G12" s="3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3" t="s">
        <v>9</v>
      </c>
    </row>
    <row r="13">
      <c r="A13" s="0" t="s">
        <v>247</v>
      </c>
      <c r="B13" s="0" t="s">
        <v>248</v>
      </c>
      <c r="C13" s="0" t="s">
        <v>22</v>
      </c>
      <c r="D13" s="3" t="s">
        <v>140</v>
      </c>
      <c r="E13" s="3" t="s">
        <v>249</v>
      </c>
      <c r="F13" s="3" t="s">
        <v>250</v>
      </c>
      <c r="G13" s="3" t="s">
        <v>9</v>
      </c>
      <c r="H13" s="0" t="s">
        <v>9</v>
      </c>
      <c r="I13" s="0" t="s">
        <v>9</v>
      </c>
      <c r="J13" s="0" t="s">
        <v>9</v>
      </c>
      <c r="K13" s="0" t="s">
        <v>9</v>
      </c>
      <c r="L13" s="3" t="s">
        <v>9</v>
      </c>
    </row>
    <row r="14">
      <c r="A14" s="0" t="s">
        <v>251</v>
      </c>
      <c r="B14" s="0" t="s">
        <v>252</v>
      </c>
      <c r="C14" s="0" t="s">
        <v>22</v>
      </c>
      <c r="D14" s="3" t="s">
        <v>253</v>
      </c>
      <c r="E14" s="3" t="s">
        <v>254</v>
      </c>
      <c r="F14" s="3" t="s">
        <v>255</v>
      </c>
      <c r="G14" s="3" t="s">
        <v>9</v>
      </c>
      <c r="H14" s="0" t="s">
        <v>9</v>
      </c>
      <c r="I14" s="0" t="s">
        <v>9</v>
      </c>
      <c r="J14" s="0" t="s">
        <v>9</v>
      </c>
      <c r="K14" s="0" t="s">
        <v>9</v>
      </c>
      <c r="L14" s="3" t="s">
        <v>9</v>
      </c>
    </row>
    <row r="15">
      <c r="A15" s="0" t="s">
        <v>256</v>
      </c>
      <c r="B15" s="0" t="s">
        <v>257</v>
      </c>
      <c r="C15" s="0" t="s">
        <v>21</v>
      </c>
      <c r="D15" s="3" t="s">
        <v>258</v>
      </c>
      <c r="E15" s="3" t="s">
        <v>259</v>
      </c>
      <c r="F15" s="3" t="s">
        <v>260</v>
      </c>
      <c r="G15" s="3" t="s">
        <v>9</v>
      </c>
      <c r="H15" s="0" t="s">
        <v>9</v>
      </c>
      <c r="I15" s="0" t="s">
        <v>9</v>
      </c>
      <c r="J15" s="0" t="s">
        <v>9</v>
      </c>
      <c r="K15" s="0" t="s">
        <v>9</v>
      </c>
      <c r="L15" s="3" t="s">
        <v>9</v>
      </c>
    </row>
  </sheetData>
  <conditionalFormatting sqref="H2:H15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5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5" showErrorMessage="1" errorTitle="Pick one" error="Pass / Fail / Blocked / Not Run">
      <formula1>"Pass,Fail,Blocked,Not Run"</formula1>
    </dataValidation>
    <dataValidation type="list" sqref="C2:C15">
      <formula1>"P0,P1,P2"</formula1>
    </dataValidation>
  </dataValidations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L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261</v>
      </c>
      <c r="B2" s="0" t="s">
        <v>262</v>
      </c>
      <c r="C2" s="0" t="s">
        <v>21</v>
      </c>
      <c r="D2" s="3" t="s">
        <v>74</v>
      </c>
      <c r="E2" s="3" t="s">
        <v>263</v>
      </c>
      <c r="F2" s="3" t="s">
        <v>264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265</v>
      </c>
      <c r="B3" s="0" t="s">
        <v>266</v>
      </c>
      <c r="C3" s="0" t="s">
        <v>21</v>
      </c>
      <c r="D3" s="3" t="s">
        <v>267</v>
      </c>
      <c r="E3" s="3" t="s">
        <v>268</v>
      </c>
      <c r="F3" s="3" t="s">
        <v>269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270</v>
      </c>
      <c r="B4" s="0" t="s">
        <v>271</v>
      </c>
      <c r="C4" s="0" t="s">
        <v>21</v>
      </c>
      <c r="D4" s="3" t="s">
        <v>267</v>
      </c>
      <c r="E4" s="3" t="s">
        <v>272</v>
      </c>
      <c r="F4" s="3" t="s">
        <v>273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274</v>
      </c>
      <c r="B5" s="0" t="s">
        <v>275</v>
      </c>
      <c r="C5" s="0" t="s">
        <v>22</v>
      </c>
      <c r="D5" s="3" t="s">
        <v>276</v>
      </c>
      <c r="E5" s="3" t="s">
        <v>277</v>
      </c>
      <c r="F5" s="3" t="s">
        <v>278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279</v>
      </c>
      <c r="B6" s="0" t="s">
        <v>280</v>
      </c>
      <c r="C6" s="0" t="s">
        <v>21</v>
      </c>
      <c r="D6" s="3" t="s">
        <v>281</v>
      </c>
      <c r="E6" s="3" t="s">
        <v>282</v>
      </c>
      <c r="F6" s="3" t="s">
        <v>283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284</v>
      </c>
      <c r="B7" s="0" t="s">
        <v>285</v>
      </c>
      <c r="C7" s="0" t="s">
        <v>21</v>
      </c>
      <c r="D7" s="3" t="s">
        <v>286</v>
      </c>
      <c r="E7" s="3" t="s">
        <v>287</v>
      </c>
      <c r="F7" s="3" t="s">
        <v>288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289</v>
      </c>
      <c r="B8" s="0" t="s">
        <v>290</v>
      </c>
      <c r="C8" s="0" t="s">
        <v>22</v>
      </c>
      <c r="D8" s="3" t="s">
        <v>286</v>
      </c>
      <c r="E8" s="3" t="s">
        <v>291</v>
      </c>
      <c r="F8" s="3" t="s">
        <v>292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293</v>
      </c>
      <c r="B9" s="0" t="s">
        <v>294</v>
      </c>
      <c r="C9" s="0" t="s">
        <v>22</v>
      </c>
      <c r="D9" s="3" t="s">
        <v>286</v>
      </c>
      <c r="E9" s="3" t="s">
        <v>295</v>
      </c>
      <c r="F9" s="3" t="s">
        <v>296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297</v>
      </c>
      <c r="B10" s="0" t="s">
        <v>298</v>
      </c>
      <c r="C10" s="0" t="s">
        <v>21</v>
      </c>
      <c r="D10" s="3" t="s">
        <v>299</v>
      </c>
      <c r="E10" s="3" t="s">
        <v>300</v>
      </c>
      <c r="F10" s="3" t="s">
        <v>301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302</v>
      </c>
      <c r="B11" s="0" t="s">
        <v>303</v>
      </c>
      <c r="C11" s="0" t="s">
        <v>21</v>
      </c>
      <c r="D11" s="3" t="s">
        <v>304</v>
      </c>
      <c r="E11" s="3" t="s">
        <v>305</v>
      </c>
      <c r="F11" s="3" t="s">
        <v>306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  <row r="12">
      <c r="A12" s="0" t="s">
        <v>307</v>
      </c>
      <c r="B12" s="0" t="s">
        <v>308</v>
      </c>
      <c r="C12" s="0" t="s">
        <v>22</v>
      </c>
      <c r="D12" s="3" t="s">
        <v>286</v>
      </c>
      <c r="E12" s="3" t="s">
        <v>309</v>
      </c>
      <c r="F12" s="3" t="s">
        <v>310</v>
      </c>
      <c r="G12" s="3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3" t="s">
        <v>9</v>
      </c>
    </row>
    <row r="13">
      <c r="A13" s="0" t="s">
        <v>311</v>
      </c>
      <c r="B13" s="0" t="s">
        <v>312</v>
      </c>
      <c r="C13" s="0" t="s">
        <v>23</v>
      </c>
      <c r="D13" s="3" t="s">
        <v>286</v>
      </c>
      <c r="E13" s="3" t="s">
        <v>249</v>
      </c>
      <c r="F13" s="3" t="s">
        <v>313</v>
      </c>
      <c r="G13" s="3" t="s">
        <v>9</v>
      </c>
      <c r="H13" s="0" t="s">
        <v>9</v>
      </c>
      <c r="I13" s="0" t="s">
        <v>9</v>
      </c>
      <c r="J13" s="0" t="s">
        <v>9</v>
      </c>
      <c r="K13" s="0" t="s">
        <v>9</v>
      </c>
      <c r="L13" s="3" t="s">
        <v>9</v>
      </c>
    </row>
  </sheetData>
  <conditionalFormatting sqref="H2:H13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3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3" showErrorMessage="1" errorTitle="Pick one" error="Pass / Fail / Blocked / Not Run">
      <formula1>"Pass,Fail,Blocked,Not Run"</formula1>
    </dataValidation>
    <dataValidation type="list" sqref="C2:C13">
      <formula1>"P0,P1,P2"</formula1>
    </dataValidation>
  </dataValidations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314</v>
      </c>
      <c r="B2" s="0" t="s">
        <v>315</v>
      </c>
      <c r="C2" s="0" t="s">
        <v>21</v>
      </c>
      <c r="D2" s="3" t="s">
        <v>74</v>
      </c>
      <c r="E2" s="3" t="s">
        <v>316</v>
      </c>
      <c r="F2" s="3" t="s">
        <v>317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318</v>
      </c>
      <c r="B3" s="0" t="s">
        <v>319</v>
      </c>
      <c r="C3" s="0" t="s">
        <v>21</v>
      </c>
      <c r="D3" s="3" t="s">
        <v>320</v>
      </c>
      <c r="E3" s="3" t="s">
        <v>321</v>
      </c>
      <c r="F3" s="3" t="s">
        <v>322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323</v>
      </c>
      <c r="B4" s="0" t="s">
        <v>324</v>
      </c>
      <c r="C4" s="0" t="s">
        <v>21</v>
      </c>
      <c r="D4" s="3" t="s">
        <v>325</v>
      </c>
      <c r="E4" s="3" t="s">
        <v>326</v>
      </c>
      <c r="F4" s="3" t="s">
        <v>327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328</v>
      </c>
      <c r="B5" s="0" t="s">
        <v>329</v>
      </c>
      <c r="C5" s="0" t="s">
        <v>22</v>
      </c>
      <c r="D5" s="3" t="s">
        <v>330</v>
      </c>
      <c r="E5" s="3" t="s">
        <v>331</v>
      </c>
      <c r="F5" s="3" t="s">
        <v>332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333</v>
      </c>
      <c r="B6" s="0" t="s">
        <v>334</v>
      </c>
      <c r="C6" s="0" t="s">
        <v>22</v>
      </c>
      <c r="D6" s="3" t="s">
        <v>335</v>
      </c>
      <c r="E6" s="3" t="s">
        <v>336</v>
      </c>
      <c r="F6" s="3" t="s">
        <v>337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338</v>
      </c>
      <c r="B7" s="0" t="s">
        <v>339</v>
      </c>
      <c r="C7" s="0" t="s">
        <v>22</v>
      </c>
      <c r="D7" s="3" t="s">
        <v>340</v>
      </c>
      <c r="E7" s="3" t="s">
        <v>341</v>
      </c>
      <c r="F7" s="3" t="s">
        <v>342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</sheetData>
  <conditionalFormatting sqref="H2:H7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7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7" showErrorMessage="1" errorTitle="Pick one" error="Pass / Fail / Blocked / Not Run">
      <formula1>"Pass,Fail,Blocked,Not Run"</formula1>
    </dataValidation>
    <dataValidation type="list" sqref="C2:C7">
      <formula1>"P0,P1,P2"</formula1>
    </dataValidation>
  </dataValidations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L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343</v>
      </c>
      <c r="B2" s="0" t="s">
        <v>344</v>
      </c>
      <c r="C2" s="0" t="s">
        <v>21</v>
      </c>
      <c r="D2" s="3" t="s">
        <v>345</v>
      </c>
      <c r="E2" s="3" t="s">
        <v>346</v>
      </c>
      <c r="F2" s="3" t="s">
        <v>347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348</v>
      </c>
      <c r="B3" s="0" t="s">
        <v>349</v>
      </c>
      <c r="C3" s="0" t="s">
        <v>22</v>
      </c>
      <c r="D3" s="3" t="s">
        <v>350</v>
      </c>
      <c r="E3" s="3" t="s">
        <v>351</v>
      </c>
      <c r="F3" s="3" t="s">
        <v>352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353</v>
      </c>
      <c r="B4" s="0" t="s">
        <v>354</v>
      </c>
      <c r="C4" s="0" t="s">
        <v>22</v>
      </c>
      <c r="D4" s="3" t="s">
        <v>350</v>
      </c>
      <c r="E4" s="3" t="s">
        <v>355</v>
      </c>
      <c r="F4" s="3" t="s">
        <v>356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357</v>
      </c>
      <c r="B5" s="0" t="s">
        <v>358</v>
      </c>
      <c r="C5" s="0" t="s">
        <v>21</v>
      </c>
      <c r="D5" s="3" t="s">
        <v>359</v>
      </c>
      <c r="E5" s="3" t="s">
        <v>360</v>
      </c>
      <c r="F5" s="3" t="s">
        <v>361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362</v>
      </c>
      <c r="B6" s="0" t="s">
        <v>363</v>
      </c>
      <c r="C6" s="0" t="s">
        <v>21</v>
      </c>
      <c r="D6" s="3" t="s">
        <v>364</v>
      </c>
      <c r="E6" s="3" t="s">
        <v>365</v>
      </c>
      <c r="F6" s="3" t="s">
        <v>366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367</v>
      </c>
      <c r="B7" s="0" t="s">
        <v>368</v>
      </c>
      <c r="C7" s="0" t="s">
        <v>21</v>
      </c>
      <c r="D7" s="3" t="s">
        <v>369</v>
      </c>
      <c r="E7" s="3" t="s">
        <v>370</v>
      </c>
      <c r="F7" s="3" t="s">
        <v>371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372</v>
      </c>
      <c r="B8" s="0" t="s">
        <v>373</v>
      </c>
      <c r="C8" s="0" t="s">
        <v>22</v>
      </c>
      <c r="D8" s="3" t="s">
        <v>369</v>
      </c>
      <c r="E8" s="3" t="s">
        <v>374</v>
      </c>
      <c r="F8" s="3" t="s">
        <v>375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376</v>
      </c>
      <c r="B9" s="0" t="s">
        <v>377</v>
      </c>
      <c r="C9" s="0" t="s">
        <v>21</v>
      </c>
      <c r="D9" s="3" t="s">
        <v>378</v>
      </c>
      <c r="E9" s="3" t="s">
        <v>379</v>
      </c>
      <c r="F9" s="3" t="s">
        <v>380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381</v>
      </c>
      <c r="B10" s="0" t="s">
        <v>382</v>
      </c>
      <c r="C10" s="0" t="s">
        <v>22</v>
      </c>
      <c r="D10" s="3" t="s">
        <v>383</v>
      </c>
      <c r="E10" s="3" t="s">
        <v>384</v>
      </c>
      <c r="F10" s="3" t="s">
        <v>385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386</v>
      </c>
      <c r="B11" s="0" t="s">
        <v>387</v>
      </c>
      <c r="C11" s="0" t="s">
        <v>21</v>
      </c>
      <c r="D11" s="3" t="s">
        <v>383</v>
      </c>
      <c r="E11" s="3" t="s">
        <v>388</v>
      </c>
      <c r="F11" s="3" t="s">
        <v>389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  <row r="12">
      <c r="A12" s="0" t="s">
        <v>390</v>
      </c>
      <c r="B12" s="0" t="s">
        <v>391</v>
      </c>
      <c r="C12" s="0" t="s">
        <v>22</v>
      </c>
      <c r="D12" s="3" t="s">
        <v>392</v>
      </c>
      <c r="E12" s="3" t="s">
        <v>393</v>
      </c>
      <c r="F12" s="3" t="s">
        <v>394</v>
      </c>
      <c r="G12" s="3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3" t="s">
        <v>9</v>
      </c>
    </row>
  </sheetData>
  <conditionalFormatting sqref="H2:H12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2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2" showErrorMessage="1" errorTitle="Pick one" error="Pass / Fail / Blocked / Not Run">
      <formula1>"Pass,Fail,Blocked,Not Run"</formula1>
    </dataValidation>
    <dataValidation type="list" sqref="C2:C12">
      <formula1>"P0,P1,P2"</formula1>
    </dataValidation>
  </dataValidations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L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395</v>
      </c>
      <c r="B2" s="0" t="s">
        <v>396</v>
      </c>
      <c r="C2" s="0" t="s">
        <v>21</v>
      </c>
      <c r="D2" s="3" t="s">
        <v>397</v>
      </c>
      <c r="E2" s="3" t="s">
        <v>398</v>
      </c>
      <c r="F2" s="3" t="s">
        <v>399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400</v>
      </c>
      <c r="B3" s="0" t="s">
        <v>401</v>
      </c>
      <c r="C3" s="0" t="s">
        <v>21</v>
      </c>
      <c r="D3" s="3" t="s">
        <v>402</v>
      </c>
      <c r="E3" s="3" t="s">
        <v>403</v>
      </c>
      <c r="F3" s="3" t="s">
        <v>404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405</v>
      </c>
      <c r="B4" s="0" t="s">
        <v>406</v>
      </c>
      <c r="C4" s="0" t="s">
        <v>22</v>
      </c>
      <c r="D4" s="3" t="s">
        <v>407</v>
      </c>
      <c r="E4" s="3" t="s">
        <v>408</v>
      </c>
      <c r="F4" s="3" t="s">
        <v>409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410</v>
      </c>
      <c r="B5" s="0" t="s">
        <v>411</v>
      </c>
      <c r="C5" s="0" t="s">
        <v>22</v>
      </c>
      <c r="D5" s="3" t="s">
        <v>412</v>
      </c>
      <c r="E5" s="3" t="s">
        <v>413</v>
      </c>
      <c r="F5" s="3" t="s">
        <v>414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415</v>
      </c>
      <c r="B6" s="0" t="s">
        <v>416</v>
      </c>
      <c r="C6" s="0" t="s">
        <v>23</v>
      </c>
      <c r="D6" s="3" t="s">
        <v>417</v>
      </c>
      <c r="E6" s="3" t="s">
        <v>418</v>
      </c>
      <c r="F6" s="3" t="s">
        <v>419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</sheetData>
  <conditionalFormatting sqref="H2:H6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6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6" showErrorMessage="1" errorTitle="Pick one" error="Pass / Fail / Blocked / Not Run">
      <formula1>"Pass,Fail,Blocked,Not Run"</formula1>
    </dataValidation>
    <dataValidation type="list" sqref="C2:C6">
      <formula1>"P0,P1,P2"</formula1>
    </dataValidation>
  </dataValidations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420</v>
      </c>
      <c r="B2" s="0" t="s">
        <v>421</v>
      </c>
      <c r="C2" s="0" t="s">
        <v>22</v>
      </c>
      <c r="D2" s="3" t="s">
        <v>74</v>
      </c>
      <c r="E2" s="3" t="s">
        <v>422</v>
      </c>
      <c r="F2" s="3" t="s">
        <v>423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424</v>
      </c>
      <c r="B3" s="0" t="s">
        <v>425</v>
      </c>
      <c r="C3" s="0" t="s">
        <v>22</v>
      </c>
      <c r="D3" s="3" t="s">
        <v>426</v>
      </c>
      <c r="E3" s="3" t="s">
        <v>427</v>
      </c>
      <c r="F3" s="3" t="s">
        <v>428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429</v>
      </c>
      <c r="B4" s="0" t="s">
        <v>430</v>
      </c>
      <c r="C4" s="0" t="s">
        <v>23</v>
      </c>
      <c r="D4" s="3" t="s">
        <v>431</v>
      </c>
      <c r="E4" s="3" t="s">
        <v>432</v>
      </c>
      <c r="F4" s="3" t="s">
        <v>433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434</v>
      </c>
      <c r="B5" s="0" t="s">
        <v>435</v>
      </c>
      <c r="C5" s="0" t="s">
        <v>22</v>
      </c>
      <c r="D5" s="3" t="s">
        <v>426</v>
      </c>
      <c r="E5" s="3" t="s">
        <v>436</v>
      </c>
      <c r="F5" s="3" t="s">
        <v>437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438</v>
      </c>
      <c r="B6" s="0" t="s">
        <v>439</v>
      </c>
      <c r="C6" s="0" t="s">
        <v>22</v>
      </c>
      <c r="D6" s="3" t="s">
        <v>286</v>
      </c>
      <c r="E6" s="3" t="s">
        <v>440</v>
      </c>
      <c r="F6" s="3" t="s">
        <v>441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442</v>
      </c>
      <c r="B7" s="0" t="s">
        <v>443</v>
      </c>
      <c r="C7" s="0" t="s">
        <v>22</v>
      </c>
      <c r="D7" s="3" t="s">
        <v>286</v>
      </c>
      <c r="E7" s="3" t="s">
        <v>444</v>
      </c>
      <c r="F7" s="3" t="s">
        <v>445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</sheetData>
  <conditionalFormatting sqref="H2:H7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7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7" showErrorMessage="1" errorTitle="Pick one" error="Pass / Fail / Blocked / Not Run">
      <formula1>"Pass,Fail,Blocked,Not Run"</formula1>
    </dataValidation>
    <dataValidation type="list" sqref="C2:C7">
      <formula1>"P0,P1,P2"</formula1>
    </dataValidation>
  </dataValidations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L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446</v>
      </c>
      <c r="B2" s="0" t="s">
        <v>447</v>
      </c>
      <c r="C2" s="0" t="s">
        <v>22</v>
      </c>
      <c r="D2" s="3" t="s">
        <v>74</v>
      </c>
      <c r="E2" s="3" t="s">
        <v>448</v>
      </c>
      <c r="F2" s="3" t="s">
        <v>449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450</v>
      </c>
      <c r="B3" s="0" t="s">
        <v>451</v>
      </c>
      <c r="C3" s="0" t="s">
        <v>22</v>
      </c>
      <c r="D3" s="3" t="s">
        <v>74</v>
      </c>
      <c r="E3" s="3" t="s">
        <v>452</v>
      </c>
      <c r="F3" s="3" t="s">
        <v>453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454</v>
      </c>
      <c r="B4" s="0" t="s">
        <v>455</v>
      </c>
      <c r="C4" s="0" t="s">
        <v>22</v>
      </c>
      <c r="D4" s="3" t="s">
        <v>456</v>
      </c>
      <c r="E4" s="3" t="s">
        <v>457</v>
      </c>
      <c r="F4" s="3" t="s">
        <v>458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459</v>
      </c>
      <c r="B5" s="0" t="s">
        <v>460</v>
      </c>
      <c r="C5" s="0" t="s">
        <v>22</v>
      </c>
      <c r="D5" s="3" t="s">
        <v>461</v>
      </c>
      <c r="E5" s="3" t="s">
        <v>462</v>
      </c>
      <c r="F5" s="3" t="s">
        <v>463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464</v>
      </c>
      <c r="B6" s="0" t="s">
        <v>465</v>
      </c>
      <c r="C6" s="0" t="s">
        <v>21</v>
      </c>
      <c r="D6" s="3" t="s">
        <v>466</v>
      </c>
      <c r="E6" s="3" t="s">
        <v>467</v>
      </c>
      <c r="F6" s="3" t="s">
        <v>468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</sheetData>
  <conditionalFormatting sqref="H2:H6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6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6" showErrorMessage="1" errorTitle="Pick one" error="Pass / Fail / Blocked / Not Run">
      <formula1>"Pass,Fail,Blocked,Not Run"</formula1>
    </dataValidation>
    <dataValidation type="list" sqref="C2:C6">
      <formula1>"P0,P1,P2"</formula1>
    </dataValidation>
  </dataValidations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L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469</v>
      </c>
      <c r="B2" s="0" t="s">
        <v>470</v>
      </c>
      <c r="C2" s="0" t="s">
        <v>21</v>
      </c>
      <c r="D2" s="3" t="s">
        <v>471</v>
      </c>
      <c r="E2" s="3" t="s">
        <v>472</v>
      </c>
      <c r="F2" s="3" t="s">
        <v>473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474</v>
      </c>
      <c r="B3" s="0" t="s">
        <v>475</v>
      </c>
      <c r="C3" s="0" t="s">
        <v>21</v>
      </c>
      <c r="D3" s="3" t="s">
        <v>476</v>
      </c>
      <c r="E3" s="3" t="s">
        <v>477</v>
      </c>
      <c r="F3" s="3" t="s">
        <v>478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479</v>
      </c>
      <c r="B4" s="0" t="s">
        <v>480</v>
      </c>
      <c r="C4" s="0" t="s">
        <v>21</v>
      </c>
      <c r="D4" s="3" t="s">
        <v>345</v>
      </c>
      <c r="E4" s="3" t="s">
        <v>481</v>
      </c>
      <c r="F4" s="3" t="s">
        <v>482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483</v>
      </c>
      <c r="B5" s="0" t="s">
        <v>484</v>
      </c>
      <c r="C5" s="0" t="s">
        <v>21</v>
      </c>
      <c r="D5" s="3" t="s">
        <v>345</v>
      </c>
      <c r="E5" s="3" t="s">
        <v>485</v>
      </c>
      <c r="F5" s="3" t="s">
        <v>486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487</v>
      </c>
      <c r="B6" s="0" t="s">
        <v>488</v>
      </c>
      <c r="C6" s="0" t="s">
        <v>21</v>
      </c>
      <c r="D6" s="3" t="s">
        <v>397</v>
      </c>
      <c r="E6" s="3" t="s">
        <v>489</v>
      </c>
      <c r="F6" s="3" t="s">
        <v>490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491</v>
      </c>
      <c r="B7" s="0" t="s">
        <v>492</v>
      </c>
      <c r="C7" s="0" t="s">
        <v>22</v>
      </c>
      <c r="D7" s="3" t="s">
        <v>397</v>
      </c>
      <c r="E7" s="3" t="s">
        <v>493</v>
      </c>
      <c r="F7" s="3" t="s">
        <v>494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495</v>
      </c>
      <c r="B8" s="0" t="s">
        <v>496</v>
      </c>
      <c r="C8" s="0" t="s">
        <v>22</v>
      </c>
      <c r="D8" s="3" t="s">
        <v>497</v>
      </c>
      <c r="E8" s="3" t="s">
        <v>498</v>
      </c>
      <c r="F8" s="3" t="s">
        <v>499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500</v>
      </c>
      <c r="B9" s="0" t="s">
        <v>501</v>
      </c>
      <c r="C9" s="0" t="s">
        <v>21</v>
      </c>
      <c r="D9" s="3" t="s">
        <v>502</v>
      </c>
      <c r="E9" s="3" t="s">
        <v>503</v>
      </c>
      <c r="F9" s="3" t="s">
        <v>504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</sheetData>
  <conditionalFormatting sqref="H2:H9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9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9" showErrorMessage="1" errorTitle="Pick one" error="Pass / Fail / Blocked / Not Run">
      <formula1>"Pass,Fail,Blocked,Not Run"</formula1>
    </dataValidation>
    <dataValidation type="list" sqref="C2:C9">
      <formula1>"P0,P1,P2"</formula1>
    </dataValidation>
  </dataValidations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L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505</v>
      </c>
      <c r="B2" s="0" t="s">
        <v>506</v>
      </c>
      <c r="C2" s="0" t="s">
        <v>21</v>
      </c>
      <c r="D2" s="3" t="s">
        <v>507</v>
      </c>
      <c r="E2" s="3" t="s">
        <v>508</v>
      </c>
      <c r="F2" s="3" t="s">
        <v>509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510</v>
      </c>
      <c r="B3" s="0" t="s">
        <v>511</v>
      </c>
      <c r="C3" s="0" t="s">
        <v>21</v>
      </c>
      <c r="D3" s="3" t="s">
        <v>507</v>
      </c>
      <c r="E3" s="3" t="s">
        <v>512</v>
      </c>
      <c r="F3" s="3" t="s">
        <v>509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513</v>
      </c>
      <c r="B4" s="0" t="s">
        <v>514</v>
      </c>
      <c r="C4" s="0" t="s">
        <v>21</v>
      </c>
      <c r="D4" s="3" t="s">
        <v>507</v>
      </c>
      <c r="E4" s="3" t="s">
        <v>515</v>
      </c>
      <c r="F4" s="3" t="s">
        <v>516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517</v>
      </c>
      <c r="B5" s="0" t="s">
        <v>518</v>
      </c>
      <c r="C5" s="0" t="s">
        <v>22</v>
      </c>
      <c r="D5" s="3" t="s">
        <v>519</v>
      </c>
      <c r="E5" s="3" t="s">
        <v>520</v>
      </c>
      <c r="F5" s="3" t="s">
        <v>521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522</v>
      </c>
      <c r="B6" s="0" t="s">
        <v>523</v>
      </c>
      <c r="C6" s="0" t="s">
        <v>22</v>
      </c>
      <c r="D6" s="3" t="s">
        <v>519</v>
      </c>
      <c r="E6" s="3" t="s">
        <v>524</v>
      </c>
      <c r="F6" s="3" t="s">
        <v>516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525</v>
      </c>
      <c r="B7" s="0" t="s">
        <v>526</v>
      </c>
      <c r="C7" s="0" t="s">
        <v>21</v>
      </c>
      <c r="D7" s="3" t="s">
        <v>519</v>
      </c>
      <c r="E7" s="3" t="s">
        <v>527</v>
      </c>
      <c r="F7" s="3">
        <v>403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528</v>
      </c>
      <c r="B8" s="0" t="s">
        <v>529</v>
      </c>
      <c r="C8" s="0" t="s">
        <v>22</v>
      </c>
      <c r="D8" s="3" t="s">
        <v>69</v>
      </c>
      <c r="E8" s="3" t="s">
        <v>530</v>
      </c>
      <c r="F8" s="3" t="s">
        <v>516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531</v>
      </c>
      <c r="B9" s="0" t="s">
        <v>532</v>
      </c>
      <c r="C9" s="0" t="s">
        <v>21</v>
      </c>
      <c r="D9" s="3" t="s">
        <v>507</v>
      </c>
      <c r="E9" s="3" t="s">
        <v>530</v>
      </c>
      <c r="F9" s="3">
        <v>403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533</v>
      </c>
      <c r="B10" s="0" t="s">
        <v>534</v>
      </c>
      <c r="C10" s="0" t="s">
        <v>21</v>
      </c>
      <c r="D10" s="3" t="s">
        <v>535</v>
      </c>
      <c r="E10" s="3" t="s">
        <v>536</v>
      </c>
      <c r="F10" s="3" t="s">
        <v>537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538</v>
      </c>
      <c r="B11" s="0" t="s">
        <v>539</v>
      </c>
      <c r="C11" s="0" t="s">
        <v>21</v>
      </c>
      <c r="D11" s="3" t="s">
        <v>59</v>
      </c>
      <c r="E11" s="3" t="s">
        <v>540</v>
      </c>
      <c r="F11" s="3">
        <v>401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</sheetData>
  <conditionalFormatting sqref="H2:H11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1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1" showErrorMessage="1" errorTitle="Pick one" error="Pass / Fail / Blocked / Not Run">
      <formula1>"Pass,Fail,Blocked,Not Run"</formula1>
    </dataValidation>
    <dataValidation type="list" sqref="C2:C11">
      <formula1>"P0,P1,P2"</formula1>
    </dataValidation>
  </dataValidations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L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541</v>
      </c>
      <c r="B2" s="0" t="s">
        <v>542</v>
      </c>
      <c r="C2" s="0" t="s">
        <v>21</v>
      </c>
      <c r="D2" s="3" t="s">
        <v>74</v>
      </c>
      <c r="E2" s="3" t="s">
        <v>543</v>
      </c>
      <c r="F2" s="3" t="s">
        <v>544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545</v>
      </c>
      <c r="B3" s="0" t="s">
        <v>546</v>
      </c>
      <c r="C3" s="0" t="s">
        <v>21</v>
      </c>
      <c r="D3" s="3" t="s">
        <v>74</v>
      </c>
      <c r="E3" s="3" t="s">
        <v>547</v>
      </c>
      <c r="F3" s="3" t="s">
        <v>548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549</v>
      </c>
      <c r="B4" s="0" t="s">
        <v>550</v>
      </c>
      <c r="C4" s="0" t="s">
        <v>22</v>
      </c>
      <c r="D4" s="3" t="s">
        <v>286</v>
      </c>
      <c r="E4" s="3" t="s">
        <v>551</v>
      </c>
      <c r="F4" s="3" t="s">
        <v>552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553</v>
      </c>
      <c r="B5" s="0" t="s">
        <v>554</v>
      </c>
      <c r="C5" s="0" t="s">
        <v>22</v>
      </c>
      <c r="D5" s="3" t="s">
        <v>555</v>
      </c>
      <c r="E5" s="3" t="s">
        <v>556</v>
      </c>
      <c r="F5" s="3" t="s">
        <v>557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558</v>
      </c>
      <c r="B6" s="0" t="s">
        <v>559</v>
      </c>
      <c r="C6" s="0" t="s">
        <v>22</v>
      </c>
      <c r="D6" s="3" t="s">
        <v>560</v>
      </c>
      <c r="E6" s="3" t="s">
        <v>561</v>
      </c>
      <c r="F6" s="3" t="s">
        <v>562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563</v>
      </c>
      <c r="B7" s="0" t="s">
        <v>564</v>
      </c>
      <c r="C7" s="0" t="s">
        <v>22</v>
      </c>
      <c r="D7" s="3" t="s">
        <v>565</v>
      </c>
      <c r="E7" s="3" t="s">
        <v>566</v>
      </c>
      <c r="F7" s="3" t="s">
        <v>567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  <row r="8">
      <c r="A8" s="0" t="s">
        <v>568</v>
      </c>
      <c r="B8" s="0" t="s">
        <v>569</v>
      </c>
      <c r="C8" s="0" t="s">
        <v>22</v>
      </c>
      <c r="D8" s="3" t="s">
        <v>565</v>
      </c>
      <c r="E8" s="3" t="s">
        <v>570</v>
      </c>
      <c r="F8" s="3" t="s">
        <v>557</v>
      </c>
      <c r="G8" s="3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3" t="s">
        <v>9</v>
      </c>
    </row>
    <row r="9">
      <c r="A9" s="0" t="s">
        <v>571</v>
      </c>
      <c r="B9" s="0" t="s">
        <v>572</v>
      </c>
      <c r="C9" s="0" t="s">
        <v>23</v>
      </c>
      <c r="D9" s="3" t="s">
        <v>253</v>
      </c>
      <c r="E9" s="3" t="s">
        <v>573</v>
      </c>
      <c r="F9" s="3" t="s">
        <v>574</v>
      </c>
      <c r="G9" s="3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3" t="s">
        <v>9</v>
      </c>
    </row>
    <row r="10">
      <c r="A10" s="0" t="s">
        <v>575</v>
      </c>
      <c r="B10" s="0" t="s">
        <v>576</v>
      </c>
      <c r="C10" s="0" t="s">
        <v>23</v>
      </c>
      <c r="D10" s="3" t="s">
        <v>140</v>
      </c>
      <c r="E10" s="3" t="s">
        <v>577</v>
      </c>
      <c r="F10" s="3" t="s">
        <v>578</v>
      </c>
      <c r="G10" s="3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3" t="s">
        <v>9</v>
      </c>
    </row>
    <row r="11">
      <c r="A11" s="0" t="s">
        <v>579</v>
      </c>
      <c r="B11" s="0" t="s">
        <v>580</v>
      </c>
      <c r="C11" s="0" t="s">
        <v>23</v>
      </c>
      <c r="D11" s="3" t="s">
        <v>140</v>
      </c>
      <c r="E11" s="3" t="s">
        <v>581</v>
      </c>
      <c r="F11" s="3" t="s">
        <v>582</v>
      </c>
      <c r="G11" s="3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3" t="s">
        <v>9</v>
      </c>
    </row>
  </sheetData>
  <conditionalFormatting sqref="H2:H11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11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11" showErrorMessage="1" errorTitle="Pick one" error="Pass / Fail / Blocked / Not Run">
      <formula1>"Pass,Fail,Blocked,Not Run"</formula1>
    </dataValidation>
    <dataValidation type="list" sqref="C2:C11">
      <formula1>"P0,P1,P2"</formula1>
    </dataValidation>
  </dataValidations>
  <headerFooter/>
  <tableParts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" customWidth="1"/>
    <col min="2" max="2" width="45" customWidth="1"/>
    <col min="3" max="3" width="10" customWidth="1"/>
    <col min="4" max="4" width="30" customWidth="1"/>
    <col min="5" max="5" width="50" customWidth="1"/>
    <col min="6" max="6" width="50" customWidth="1"/>
    <col min="7" max="7" width="35" customWidth="1"/>
    <col min="8" max="8" width="12" customWidth="1"/>
    <col min="9" max="9" width="18" customWidth="1"/>
    <col min="10" max="10" width="14" customWidth="1"/>
    <col min="11" max="11" width="12" customWidth="1"/>
    <col min="12" max="12" width="35" customWidth="1"/>
  </cols>
  <sheetData>
    <row r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</row>
    <row r="2">
      <c r="A2" s="0" t="s">
        <v>583</v>
      </c>
      <c r="B2" s="0" t="s">
        <v>584</v>
      </c>
      <c r="C2" s="0" t="s">
        <v>22</v>
      </c>
      <c r="D2" s="3" t="s">
        <v>585</v>
      </c>
      <c r="E2" s="3" t="s">
        <v>586</v>
      </c>
      <c r="F2" s="3" t="s">
        <v>587</v>
      </c>
      <c r="G2" s="3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3" t="s">
        <v>9</v>
      </c>
    </row>
    <row r="3">
      <c r="A3" s="0" t="s">
        <v>588</v>
      </c>
      <c r="B3" s="0" t="s">
        <v>589</v>
      </c>
      <c r="C3" s="0" t="s">
        <v>22</v>
      </c>
      <c r="D3" s="3" t="s">
        <v>74</v>
      </c>
      <c r="E3" s="3" t="s">
        <v>590</v>
      </c>
      <c r="F3" s="3" t="s">
        <v>591</v>
      </c>
      <c r="G3" s="3" t="s">
        <v>9</v>
      </c>
      <c r="H3" s="0" t="s">
        <v>9</v>
      </c>
      <c r="I3" s="0" t="s">
        <v>9</v>
      </c>
      <c r="J3" s="0" t="s">
        <v>9</v>
      </c>
      <c r="K3" s="0" t="s">
        <v>9</v>
      </c>
      <c r="L3" s="3" t="s">
        <v>9</v>
      </c>
    </row>
    <row r="4">
      <c r="A4" s="0" t="s">
        <v>592</v>
      </c>
      <c r="B4" s="0" t="s">
        <v>593</v>
      </c>
      <c r="C4" s="0" t="s">
        <v>22</v>
      </c>
      <c r="D4" s="3" t="s">
        <v>74</v>
      </c>
      <c r="E4" s="3" t="s">
        <v>594</v>
      </c>
      <c r="F4" s="3" t="s">
        <v>595</v>
      </c>
      <c r="G4" s="3" t="s">
        <v>9</v>
      </c>
      <c r="H4" s="0" t="s">
        <v>9</v>
      </c>
      <c r="I4" s="0" t="s">
        <v>9</v>
      </c>
      <c r="J4" s="0" t="s">
        <v>9</v>
      </c>
      <c r="K4" s="0" t="s">
        <v>9</v>
      </c>
      <c r="L4" s="3" t="s">
        <v>9</v>
      </c>
    </row>
    <row r="5">
      <c r="A5" s="0" t="s">
        <v>596</v>
      </c>
      <c r="B5" s="0" t="s">
        <v>597</v>
      </c>
      <c r="C5" s="0" t="s">
        <v>22</v>
      </c>
      <c r="D5" s="3" t="s">
        <v>598</v>
      </c>
      <c r="E5" s="3" t="s">
        <v>599</v>
      </c>
      <c r="F5" s="3" t="s">
        <v>600</v>
      </c>
      <c r="G5" s="3" t="s">
        <v>9</v>
      </c>
      <c r="H5" s="0" t="s">
        <v>9</v>
      </c>
      <c r="I5" s="0" t="s">
        <v>9</v>
      </c>
      <c r="J5" s="0" t="s">
        <v>9</v>
      </c>
      <c r="K5" s="0" t="s">
        <v>9</v>
      </c>
      <c r="L5" s="3" t="s">
        <v>9</v>
      </c>
    </row>
    <row r="6">
      <c r="A6" s="0" t="s">
        <v>601</v>
      </c>
      <c r="B6" s="0" t="s">
        <v>602</v>
      </c>
      <c r="C6" s="0" t="s">
        <v>22</v>
      </c>
      <c r="D6" s="3" t="s">
        <v>219</v>
      </c>
      <c r="E6" s="3" t="s">
        <v>603</v>
      </c>
      <c r="F6" s="3" t="s">
        <v>604</v>
      </c>
      <c r="G6" s="3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3" t="s">
        <v>9</v>
      </c>
    </row>
    <row r="7">
      <c r="A7" s="0" t="s">
        <v>605</v>
      </c>
      <c r="B7" s="0" t="s">
        <v>606</v>
      </c>
      <c r="C7" s="0" t="s">
        <v>22</v>
      </c>
      <c r="D7" s="3" t="s">
        <v>335</v>
      </c>
      <c r="E7" s="3" t="s">
        <v>607</v>
      </c>
      <c r="F7" s="3" t="s">
        <v>591</v>
      </c>
      <c r="G7" s="3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3" t="s">
        <v>9</v>
      </c>
    </row>
  </sheetData>
  <conditionalFormatting sqref="H2:H7">
    <cfRule priority="1" type="cellIs" operator="equal" dxfId="0">
      <formula>"Pass"</formula>
    </cfRule>
    <cfRule priority="2" type="cellIs" operator="equal" dxfId="1">
      <formula>"Fail"</formula>
    </cfRule>
    <cfRule priority="3" type="cellIs" operator="equal" dxfId="2">
      <formula>"Blocked"</formula>
    </cfRule>
    <cfRule priority="4" type="cellIs" operator="equal" dxfId="3">
      <formula>"Not Run"</formula>
    </cfRule>
  </conditionalFormatting>
  <conditionalFormatting sqref="C2:C7">
    <cfRule priority="5" type="cellIs" operator="equal" dxfId="4">
      <formula>"P0"</formula>
    </cfRule>
    <cfRule priority="6" type="cellIs" operator="equal" dxfId="5">
      <formula>"P1"</formula>
    </cfRule>
    <cfRule priority="7" type="cellIs" operator="equal" dxfId="6">
      <formula>"P2"</formula>
    </cfRule>
  </conditionalFormatting>
  <dataValidations count="2">
    <dataValidation type="list" sqref="H2:H7" showErrorMessage="1" errorTitle="Pick one" error="Pass / Fail / Blocked / Not Run">
      <formula1>"Pass,Fail,Blocked,Not Run"</formula1>
    </dataValidation>
    <dataValidation type="list" sqref="C2:C7">
      <formula1>"P0,P1,P2"</formula1>
    </dataValidation>
  </dataValidations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9675693511963" customWidth="1"/>
    <col min="2" max="2" width="12.2950439453125" customWidth="1"/>
    <col min="3" max="3" width="14.1450252532959" customWidth="1"/>
    <col min="4" max="4" width="9.140625" customWidth="1"/>
  </cols>
  <sheetData>
    <row r="1">
      <c r="A1" s="1" t="s">
        <v>13</v>
      </c>
      <c r="B1" s="1" t="s">
        <v>608</v>
      </c>
      <c r="C1" s="1" t="s">
        <v>609</v>
      </c>
      <c r="D1" s="1" t="s">
        <v>56</v>
      </c>
    </row>
    <row r="2">
      <c r="A2" s="0" t="s">
        <v>610</v>
      </c>
      <c r="B2" s="0" t="s">
        <v>611</v>
      </c>
      <c r="C2" s="0" t="s">
        <v>9</v>
      </c>
      <c r="D2" s="0" t="s">
        <v>9</v>
      </c>
    </row>
    <row r="3">
      <c r="A3" s="0" t="s">
        <v>612</v>
      </c>
      <c r="B3" s="0" t="s">
        <v>611</v>
      </c>
      <c r="C3" s="0" t="s">
        <v>9</v>
      </c>
      <c r="D3" s="0" t="s">
        <v>9</v>
      </c>
    </row>
    <row r="4">
      <c r="A4" s="0" t="s">
        <v>613</v>
      </c>
      <c r="B4" s="0" t="s">
        <v>611</v>
      </c>
      <c r="C4" s="0" t="s">
        <v>9</v>
      </c>
      <c r="D4" s="0" t="s">
        <v>9</v>
      </c>
    </row>
    <row r="5">
      <c r="A5" s="0" t="s">
        <v>614</v>
      </c>
      <c r="B5" s="0" t="s">
        <v>615</v>
      </c>
      <c r="C5" s="0" t="s">
        <v>9</v>
      </c>
      <c r="D5" s="0" t="s">
        <v>9</v>
      </c>
    </row>
    <row r="6">
      <c r="A6" s="0" t="s">
        <v>616</v>
      </c>
      <c r="B6" s="0" t="s">
        <v>617</v>
      </c>
      <c r="C6" s="0" t="s">
        <v>9</v>
      </c>
      <c r="D6" s="0" t="s">
        <v>9</v>
      </c>
    </row>
  </sheetData>
  <headerFooter/>
  <tableParts>
    <tablePart r:id="rId1"/>
  </tableParts>
</worksheet>
</file>