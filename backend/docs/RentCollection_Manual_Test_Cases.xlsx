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shankar\RentCollectionSystem\docs\"/>
    </mc:Choice>
  </mc:AlternateContent>
  <xr:revisionPtr revIDLastSave="0" documentId="8_{BD1CF383-9CA1-4BEF-A60A-0F1706682B89}" xr6:coauthVersionLast="47" xr6:coauthVersionMax="47" xr10:uidLastSave="{00000000-0000-0000-0000-000000000000}"/>
  <bookViews>
    <workbookView xWindow="1900" yWindow="1900" windowWidth="19200" windowHeight="11250" xr2:uid="{0302AC67-D853-42F8-88FA-F3AFED67988C}"/>
  </bookViews>
  <sheets>
    <sheet name="Instructions" sheetId="1" r:id="rId1"/>
    <sheet name="Web Portal" sheetId="2" r:id="rId2"/>
    <sheet name="Mobile App" sheetId="3" r:id="rId3"/>
    <sheet name="Summary" sheetId="4" r:id="rId4"/>
  </sheets>
  <definedNames>
    <definedName name="_xlnm._FilterDatabase" localSheetId="2" hidden="1">'Mobile App'!$A$2:$K$2</definedName>
    <definedName name="_xlnm._FilterDatabase" localSheetId="1" hidden="1">'Web Portal'!$A$2:$K$2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4" l="1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</calcChain>
</file>

<file path=xl/sharedStrings.xml><?xml version="1.0" encoding="utf-8"?>
<sst xmlns="http://schemas.openxmlformats.org/spreadsheetml/2006/main" count="632" uniqueCount="392">
  <si>
    <t>RentCollection System - Manual Test Case Document</t>
  </si>
  <si>
    <t>Purpose: Manual test scenarios for the RentCollection web admin portal and the tenant mobile app.</t>
  </si>
  <si>
    <t>Environments:</t>
  </si>
  <si>
    <t xml:space="preserve">  Web (demo):   http://alrtam-001-site3.ktempurl.com</t>
  </si>
  <si>
    <t xml:space="preserve">  Web (local):  http://localhost:5032</t>
  </si>
  <si>
    <t xml:space="preserve">  Mobile APK:   build\app\outputs\flutter-apk\app-release.apk (points at demo backend)</t>
  </si>
  <si>
    <t>Sample credentials:</t>
  </si>
  <si>
    <t xml:space="preserve">  Staff (web):  admin@test.com / Admin@123   (web only - not for mobile)</t>
  </si>
  <si>
    <t xml:space="preserve">  Tenant:       use a tenant Civil ID + the password the admin set on the web portal</t>
  </si>
  <si>
    <t>How to use:</t>
  </si>
  <si>
    <t xml:space="preserve">  1. Pick a sheet: "Web Portal" or "Mobile App".</t>
  </si>
  <si>
    <t xml:space="preserve">  2. Execute each Test Case top to bottom.</t>
  </si>
  <si>
    <t xml:space="preserve">  3. Record Actual Result, set Status, add Notes for any defect.</t>
  </si>
  <si>
    <t xml:space="preserve">  4. Use the Status dropdown: Pass / Fail / Blocked / Not Run.</t>
  </si>
  <si>
    <t xml:space="preserve">  5. Check the "Summary" sheet for live pass/fail counts.</t>
  </si>
  <si>
    <t>Priority legend:  Critical &gt; High &gt; Medium &gt; Low</t>
  </si>
  <si>
    <t>Status legend:    Not Run (default) | Pass | Fail | Blocked</t>
  </si>
  <si>
    <t>Prepared for the RentCollection project. Update as features change.</t>
  </si>
  <si>
    <t>RentCollection - Web Portal Test Cases</t>
  </si>
  <si>
    <t>TC ID</t>
  </si>
  <si>
    <t>Module</t>
  </si>
  <si>
    <t>Priority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</si>
  <si>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</si>
  <si>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</si>
  <si>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</si>
  <si>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</si>
  <si>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</si>
  <si>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</si>
  <si>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</si>
  <si>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Notes</t>
  </si>
  <si>
    <t>TC-W-001</t>
  </si>
  <si>
    <t>Auth</t>
  </si>
  <si>
    <t>High</t>
  </si>
  <si>
    <t>Staff login with valid credentials</t>
  </si>
  <si>
    <t>App is running; admin account exists</t>
  </si>
  <si>
    <t>1. Open /Account/Login
2. Enter Email and Password
3. Click Sign in</t>
  </si>
  <si>
    <t>admin@test.com / Admin@123</t>
  </si>
  <si>
    <t>Redirected to Dashboard (/); auth cookie issued</t>
  </si>
  <si>
    <t>Regression: must NOT bounce to /Account/Logout</t>
  </si>
  <si>
    <t>TC-W-002</t>
  </si>
  <si>
    <t>Staff login with wrong password</t>
  </si>
  <si>
    <t>Admin account exists</t>
  </si>
  <si>
    <t>1. Open login
2. Enter valid email, wrong password
3. Click Sign in</t>
  </si>
  <si>
    <t>admin@test.com / wrongpass</t>
  </si>
  <si>
    <t>Stays on login; error message shown on top; no cookie</t>
  </si>
  <si>
    <t>TC-W-003</t>
  </si>
  <si>
    <t>Medium</t>
  </si>
  <si>
    <t>Login required-field validation</t>
  </si>
  <si>
    <t>On login page</t>
  </si>
  <si>
    <t>1. Leave Email/Password blank
2. Click Sign in</t>
  </si>
  <si>
    <t>(empty)</t>
  </si>
  <si>
    <t>Validation errors shown; form not submitted</t>
  </si>
  <si>
    <t>TC-W-004</t>
  </si>
  <si>
    <t>Logout</t>
  </si>
  <si>
    <t>Logged in as staff</t>
  </si>
  <si>
    <t>1. Open user menu
2. Click Logout</t>
  </si>
  <si>
    <t>-</t>
  </si>
  <si>
    <t>Signed out; redirected to /Account/Login</t>
  </si>
  <si>
    <t>TC-W-005</t>
  </si>
  <si>
    <t>No login-&gt;logout loop (regression)</t>
  </si>
  <si>
    <t>Have URL /Account/Login?ReturnUrl=/Account/Logout</t>
  </si>
  <si>
    <t>1. Open that URL
2. Log in with valid creds</t>
  </si>
  <si>
    <t>Lands on Dashboard, NOT logout; session stays active</t>
  </si>
  <si>
    <t>Verifies ReturnUrl guard</t>
  </si>
  <si>
    <t>TC-W-006</t>
  </si>
  <si>
    <t>Auth survives redeploy (DataProtection)</t>
  </si>
  <si>
    <t>Logged in</t>
  </si>
  <si>
    <t>1. Stay logged in
2. App is redeployed/app-pool recycled
3. Refresh a protected page</t>
  </si>
  <si>
    <t>Still logged in (keys persisted); no forced logout</t>
  </si>
  <si>
    <t>After first key-persist deploy only</t>
  </si>
  <si>
    <t>TC-W-007</t>
  </si>
  <si>
    <t>Localization</t>
  </si>
  <si>
    <t>Switch language EN-&gt;AR on login</t>
  </si>
  <si>
    <t>1. Click the Ø¹ toggle</t>
  </si>
  <si>
    <t>Page switches to Arabic, layout flips RTL</t>
  </si>
  <si>
    <t>TC-W-008</t>
  </si>
  <si>
    <t>Language persists across pages</t>
  </si>
  <si>
    <t>Arabic selected</t>
  </si>
  <si>
    <t>1. Navigate between menu items</t>
  </si>
  <si>
    <t>All pages remain Arabic RTL; culture cookie retained</t>
  </si>
  <si>
    <t>TC-W-009</t>
  </si>
  <si>
    <t>Western digits in Arabic</t>
  </si>
  <si>
    <t>1. View amounts/dates on any page</t>
  </si>
  <si>
    <t>Numbers show as 0-9 (not Arabic-Indic digits)</t>
  </si>
  <si>
    <t>TC-W-010</t>
  </si>
  <si>
    <t>Low</t>
  </si>
  <si>
    <t>English restored</t>
  </si>
  <si>
    <t>1. Click EN toggle</t>
  </si>
  <si>
    <t>Page returns to English LTR</t>
  </si>
  <si>
    <t>TC-W-011</t>
  </si>
  <si>
    <t>Property</t>
  </si>
  <si>
    <t>Create property (valid)</t>
  </si>
  <si>
    <t>Logged in as admin</t>
  </si>
  <si>
    <t>1. Properties &gt; New
2. Fill Name, Area, Block, etc.
3. Save</t>
  </si>
  <si>
    <t>Name=Test Tower</t>
  </si>
  <si>
    <t>Property created; appears in list; no 500</t>
  </si>
  <si>
    <t>Regression: NOT NULL fields coalesced</t>
  </si>
  <si>
    <t>TC-W-012</t>
  </si>
  <si>
    <t>Create property missing required</t>
  </si>
  <si>
    <t>On property create form</t>
  </si>
  <si>
    <t>1. Leave required fields blank
2. Save</t>
  </si>
  <si>
    <t>(empty name)</t>
  </si>
  <si>
    <t>Error message shown on TOP of page; not created</t>
  </si>
  <si>
    <t>TC-W-013</t>
  </si>
  <si>
    <t>Edit property</t>
  </si>
  <si>
    <t>A property exists</t>
  </si>
  <si>
    <t>1. Open property
2. Edit a field
3. Save</t>
  </si>
  <si>
    <t>Change saved and reflected in list</t>
  </si>
  <si>
    <t>TC-W-014</t>
  </si>
  <si>
    <t>Search/list properties</t>
  </si>
  <si>
    <t>Multiple properties exist</t>
  </si>
  <si>
    <t>1. Open Properties list
2. Use search</t>
  </si>
  <si>
    <t>List filters to matches; counts correct</t>
  </si>
  <si>
    <t>TC-W-015</t>
  </si>
  <si>
    <t>Unit</t>
  </si>
  <si>
    <t>Create unit under property</t>
  </si>
  <si>
    <t>1. Open property &gt; Units
2. Add Unit
3. Save</t>
  </si>
  <si>
    <t>Unit=101</t>
  </si>
  <si>
    <t>Unit created and listed under property</t>
  </si>
  <si>
    <t>TC-W-016</t>
  </si>
  <si>
    <t>Unit list shows occupancy</t>
  </si>
  <si>
    <t>Units exist</t>
  </si>
  <si>
    <t>1. Open Units list</t>
  </si>
  <si>
    <t>Occupied/vacant status shown correctly</t>
  </si>
  <si>
    <t>TC-W-017</t>
  </si>
  <si>
    <t>Tenant</t>
  </si>
  <si>
    <t>Create tenant with admin-set password</t>
  </si>
  <si>
    <t>Logged in; property exists</t>
  </si>
  <si>
    <t>1. Tenants &gt; New
2. Fill fields + set Initial Password
3. Save</t>
  </si>
  <si>
    <t>Civil ID=290010112345</t>
  </si>
  <si>
    <t>Tenant created; credential shown; password is the admin-set one</t>
  </si>
  <si>
    <t>No email required</t>
  </si>
  <si>
    <t>TC-W-018</t>
  </si>
  <si>
    <t>Create tenant auto-generate password</t>
  </si>
  <si>
    <t>On tenant create form</t>
  </si>
  <si>
    <t>1. Fill fields, leave password blank
2. Save</t>
  </si>
  <si>
    <t>Tenant created; system-generated password shown once</t>
  </si>
  <si>
    <t>TC-W-019</t>
  </si>
  <si>
    <t>Civil ID validation (12 digits)</t>
  </si>
  <si>
    <t>1. Enter Civil ID with &lt;12 digits
2. Save</t>
  </si>
  <si>
    <t>Validation error; not created</t>
  </si>
  <si>
    <t>TC-W-020</t>
  </si>
  <si>
    <t>Company auto-resolved</t>
  </si>
  <si>
    <t>Admin belongs to a company</t>
  </si>
  <si>
    <t>1. Create tenant without touching company</t>
  </si>
  <si>
    <t>Tenant saved; no "not linked to company" error</t>
  </si>
  <si>
    <t>CompanyId resolved from claim/DB</t>
  </si>
  <si>
    <t>TC-W-021</t>
  </si>
  <si>
    <t>Clear All button</t>
  </si>
  <si>
    <t>On tenant create form with data entered</t>
  </si>
  <si>
    <t>1. Fill some fields
2. Click Clear All</t>
  </si>
  <si>
    <t>All fields reset to empty</t>
  </si>
  <si>
    <t>TC-W-022</t>
  </si>
  <si>
    <t>No stale/cached old names</t>
  </si>
  <si>
    <t>After editing a tenant name</t>
  </si>
  <si>
    <t>1. Edit name
2. Reopen list/form</t>
  </si>
  <si>
    <t>New name shown; old name not cached</t>
  </si>
  <si>
    <t>TC-W-023</t>
  </si>
  <si>
    <t>Tenant list search</t>
  </si>
  <si>
    <t>Multiple tenants exist</t>
  </si>
  <si>
    <t>1. Open Tenants
2. Search by name/Civil ID</t>
  </si>
  <si>
    <t>Correct matches returned</t>
  </si>
  <si>
    <t>TC-W-024</t>
  </si>
  <si>
    <t>Lease</t>
  </si>
  <si>
    <t>Create lease with explicit unit</t>
  </si>
  <si>
    <t>Property + vacant unit exist</t>
  </si>
  <si>
    <t>1. Leases &gt; New
2. Select tenant, property, specific unit
3. Save</t>
  </si>
  <si>
    <t>Lease uses the chosen unit exactly</t>
  </si>
  <si>
    <t>Regression: explicit unit honored</t>
  </si>
  <si>
    <t>TC-W-025</t>
  </si>
  <si>
    <t>Create lease with auto-assign unit</t>
  </si>
  <si>
    <t>Property with vacant units</t>
  </si>
  <si>
    <t>1. Create lease without picking a unit</t>
  </si>
  <si>
    <t>System auto-assigns a vacant unit</t>
  </si>
  <si>
    <t>TC-W-026</t>
  </si>
  <si>
    <t>Explicit unit precedence</t>
  </si>
  <si>
    <t>Vacant units available</t>
  </si>
  <si>
    <t>1. Pick unit 102 explicitly
2. Save</t>
  </si>
  <si>
    <t>Unit=102</t>
  </si>
  <si>
    <t>Lease is on 102, not an auto-picked unit</t>
  </si>
  <si>
    <t>The precedence bug fix</t>
  </si>
  <si>
    <t>TC-W-027</t>
  </si>
  <si>
    <t>Invoice</t>
  </si>
  <si>
    <t>Invoice generation for lease</t>
  </si>
  <si>
    <t>Active lease exists</t>
  </si>
  <si>
    <t>1. Trigger/await invoice generation</t>
  </si>
  <si>
    <t>Invoice created with correct amount/period</t>
  </si>
  <si>
    <t>TC-W-028</t>
  </si>
  <si>
    <t>No duplicate invoice per period</t>
  </si>
  <si>
    <t>Lease already has an invoice for period</t>
  </si>
  <si>
    <t>1. Attempt to generate same period again</t>
  </si>
  <si>
    <t>Blocked by unique index; no duplicate</t>
  </si>
  <si>
    <t>UQ_Invoices_Lease_Type_Period</t>
  </si>
  <si>
    <t>TC-W-029</t>
  </si>
  <si>
    <t>Payment</t>
  </si>
  <si>
    <t>Record cash payment</t>
  </si>
  <si>
    <t>Invoice with balance exists</t>
  </si>
  <si>
    <t>1. Open invoice
2. Record cash payment
3. Save</t>
  </si>
  <si>
    <t>Amount=100.000</t>
  </si>
  <si>
    <t>Payment recorded; balance reduced</t>
  </si>
  <si>
    <t>TC-W-030</t>
  </si>
  <si>
    <t>Decimal precision (3 dp)</t>
  </si>
  <si>
    <t>Recording a payment</t>
  </si>
  <si>
    <t>1. Enter amount with 3 decimals</t>
  </si>
  <si>
    <t>Stored as 100.125 (no truncation)</t>
  </si>
  <si>
    <t>decimal(18,3)</t>
  </si>
  <si>
    <t>TC-W-031</t>
  </si>
  <si>
    <t>KNET payment intent</t>
  </si>
  <si>
    <t>Tenant has outstanding invoice</t>
  </si>
  <si>
    <t>1. Initiate KNET payment</t>
  </si>
  <si>
    <t>Pending KNET intent created; redirect to gateway</t>
  </si>
  <si>
    <t>TC-W-032</t>
  </si>
  <si>
    <t>KNET double-intent guard</t>
  </si>
  <si>
    <t>A pending KNET intent &lt; 2 min old exists</t>
  </si>
  <si>
    <t>1. Initiate KNET again for same invoice</t>
  </si>
  <si>
    <t>Second intent blocked (idempotency)</t>
  </si>
  <si>
    <t>TC-W-033</t>
  </si>
  <si>
    <t>Approval</t>
  </si>
  <si>
    <t>Approve pending payment</t>
  </si>
  <si>
    <t>A payment in PendingVerification</t>
  </si>
  <si>
    <t>1. Payment Approvals
2. Approve it</t>
  </si>
  <si>
    <t>Status=Approved; invoice PaidAmount increased once</t>
  </si>
  <si>
    <t>TC-W-034</t>
  </si>
  <si>
    <t>Critical</t>
  </si>
  <si>
    <t>Double-approve blocked</t>
  </si>
  <si>
    <t>Payment already Approved</t>
  </si>
  <si>
    <t>1. Try to approve the same payment again</t>
  </si>
  <si>
    <t>Blocked; no double credit to invoice</t>
  </si>
  <si>
    <t>Critical red-team fix</t>
  </si>
  <si>
    <t>TC-W-035</t>
  </si>
  <si>
    <t>Reject pending payment</t>
  </si>
  <si>
    <t>Payment in PendingVerification</t>
  </si>
  <si>
    <t>1. Reject it</t>
  </si>
  <si>
    <t>Status=Rejected; no amount credited</t>
  </si>
  <si>
    <t>TC-W-036</t>
  </si>
  <si>
    <t>Rejected cannot be re-approved</t>
  </si>
  <si>
    <t>Payment already Rejected</t>
  </si>
  <si>
    <t>1. Try to approve it</t>
  </si>
  <si>
    <t>Blocked (only PendingVerification approvable)</t>
  </si>
  <si>
    <t>TC-W-037</t>
  </si>
  <si>
    <t>PaidAmount capped at total</t>
  </si>
  <si>
    <t>Payment &gt; invoice balance</t>
  </si>
  <si>
    <t>1. Approve an overpayment</t>
  </si>
  <si>
    <t>PaidAmount capped at TotalAmount</t>
  </si>
  <si>
    <t>TC-W-038</t>
  </si>
  <si>
    <t>Security</t>
  </si>
  <si>
    <t>Receipt access control</t>
  </si>
  <si>
    <t>Two tenants, one receipt</t>
  </si>
  <si>
    <t>1. As tenant B, request tenant A receipt</t>
  </si>
  <si>
    <t>403/denied; ownership checked before status</t>
  </si>
  <si>
    <t>Receipt oracle fix</t>
  </si>
  <si>
    <t>TC-W-039</t>
  </si>
  <si>
    <t>Maintenance</t>
  </si>
  <si>
    <t>Create maintenance task</t>
  </si>
  <si>
    <t>Property/unit exists</t>
  </si>
  <si>
    <t>1. Maintenance &gt; New
2. Fill + Save</t>
  </si>
  <si>
    <t>Task created and listed</t>
  </si>
  <si>
    <t>TC-W-040</t>
  </si>
  <si>
    <t>Update task status</t>
  </si>
  <si>
    <t>A task exists</t>
  </si>
  <si>
    <t>1. Change status
2. Save</t>
  </si>
  <si>
    <t>New status persisted</t>
  </si>
  <si>
    <t>TC-W-041</t>
  </si>
  <si>
    <t>Dashboard</t>
  </si>
  <si>
    <t>Dashboard KPIs load</t>
  </si>
  <si>
    <t>Logged in with data</t>
  </si>
  <si>
    <t>1. Open Dashboard</t>
  </si>
  <si>
    <t>KPI cards render with correct counts</t>
  </si>
  <si>
    <t>Watch load time</t>
  </si>
  <si>
    <t>TC-W-042</t>
  </si>
  <si>
    <t>Reports</t>
  </si>
  <si>
    <t>Reports render</t>
  </si>
  <si>
    <t>Data exists</t>
  </si>
  <si>
    <t>1. Open a report</t>
  </si>
  <si>
    <t>Report renders with expected figures</t>
  </si>
  <si>
    <t>Not Run</t>
  </si>
  <si>
    <t>RentCollection - Mobile App Test Cases</t>
  </si>
  <si>
    <t>TC-M-001</t>
  </si>
  <si>
    <t>Tenant login (valid)</t>
  </si>
  <si>
    <t>APK installed; tenant exists</t>
  </si>
  <si>
    <t>1. Open app
2. Enter Civil ID + password
3. Login</t>
  </si>
  <si>
    <t>290010112345 / (admin-set pass)</t>
  </si>
  <si>
    <t>Logged in; Dashboard shown</t>
  </si>
  <si>
    <t>TC-M-002</t>
  </si>
  <si>
    <t>Tenant login (wrong password)</t>
  </si>
  <si>
    <t>APK installed</t>
  </si>
  <si>
    <t>1. Enter valid Civil ID, wrong password
2. Login</t>
  </si>
  <si>
    <t>wrong pass</t>
  </si>
  <si>
    <t>Error: invalid Civil ID or password</t>
  </si>
  <si>
    <t>TC-M-003</t>
  </si>
  <si>
    <t>Civil ID format validation</t>
  </si>
  <si>
    <t>On login screen</t>
  </si>
  <si>
    <t>1. Enter Civil ID not 12 digits / not starting 2 or 3</t>
  </si>
  <si>
    <t>Inline validation error; login blocked</t>
  </si>
  <si>
    <t>TC-M-004</t>
  </si>
  <si>
    <t>Remember me</t>
  </si>
  <si>
    <t>1. Toggle Remember me
2. Login
3. Reopen app</t>
  </si>
  <si>
    <t>Session retained ~30 days</t>
  </si>
  <si>
    <t>TC-M-005</t>
  </si>
  <si>
    <t>1. Profile &gt; Logout
2. Confirm</t>
  </si>
  <si>
    <t>Returned to login screen</t>
  </si>
  <si>
    <t>TC-M-006</t>
  </si>
  <si>
    <t>Session expired handling</t>
  </si>
  <si>
    <t>Logged in, token invalidated</t>
  </si>
  <si>
    <t>1. Let session expire
2. Perform an action</t>
  </si>
  <si>
    <t>Prompted to log in again gracefully</t>
  </si>
  <si>
    <t>TC-M-007</t>
  </si>
  <si>
    <t>Dashboard loads data</t>
  </si>
  <si>
    <t>Logged-in tenant with leases</t>
  </si>
  <si>
    <t>Active leases, recent payments, maintenance shown</t>
  </si>
  <si>
    <t>TC-M-008</t>
  </si>
  <si>
    <t>Invoices</t>
  </si>
  <si>
    <t>View invoices list</t>
  </si>
  <si>
    <t>Tenant has invoices</t>
  </si>
  <si>
    <t>1. Open Invoices</t>
  </si>
  <si>
    <t>Invoices listed with status</t>
  </si>
  <si>
    <t>TC-M-009</t>
  </si>
  <si>
    <t>Filter invoices</t>
  </si>
  <si>
    <t>Invoices of mixed status</t>
  </si>
  <si>
    <t>1. Apply Outstanding/Overdue/Paid filter</t>
  </si>
  <si>
    <t>List filters correctly</t>
  </si>
  <si>
    <t>TC-M-010</t>
  </si>
  <si>
    <t>Invoice detail</t>
  </si>
  <si>
    <t>An invoice exists</t>
  </si>
  <si>
    <t>1. Tap an invoice</t>
  </si>
  <si>
    <t>Detail: type, dates, total, paid, balance</t>
  </si>
  <si>
    <t>TC-M-011</t>
  </si>
  <si>
    <t>Make KNET payment</t>
  </si>
  <si>
    <t>Invoice with balance</t>
  </si>
  <si>
    <t>1. Invoice &gt; Pay Now
2. Complete KNET</t>
  </si>
  <si>
    <t>Payment processed; status updates</t>
  </si>
  <si>
    <t>TC-M-012</t>
  </si>
  <si>
    <t>Payment status screen</t>
  </si>
  <si>
    <t>After a payment attempt</t>
  </si>
  <si>
    <t>1. Return from gateway</t>
  </si>
  <si>
    <t>Shows success/processing/failed correctly</t>
  </si>
  <si>
    <t>TC-M-013</t>
  </si>
  <si>
    <t>Download receipt PDF</t>
  </si>
  <si>
    <t>A completed payment exists</t>
  </si>
  <si>
    <t>1. Open invoice
2. Download PDF receipt</t>
  </si>
  <si>
    <t>Receipt PDF opens/saves</t>
  </si>
  <si>
    <t>TC-M-014</t>
  </si>
  <si>
    <t>Submit maintenance request</t>
  </si>
  <si>
    <t>1. Maintenance &gt; New
2. Fill property/unit, category, priority, description
3. Submit</t>
  </si>
  <si>
    <t>Request submitted; success message</t>
  </si>
  <si>
    <t>TC-M-015</t>
  </si>
  <si>
    <t>Attach photos</t>
  </si>
  <si>
    <t>On new maintenance form</t>
  </si>
  <si>
    <t>1. Add up to 5 photos (camera/gallery)
2. Submit</t>
  </si>
  <si>
    <t>Photos attached and uploaded</t>
  </si>
  <si>
    <t>TC-M-016</t>
  </si>
  <si>
    <t>Profile</t>
  </si>
  <si>
    <t>Change password</t>
  </si>
  <si>
    <t>1. Profile &gt; Change Password
2. Enter current + new + confirm
3. Submit</t>
  </si>
  <si>
    <t>Password changed; can log in with new one</t>
  </si>
  <si>
    <t>Core no-email flow</t>
  </si>
  <si>
    <t>TC-M-017</t>
  </si>
  <si>
    <t>Password mismatch validation</t>
  </si>
  <si>
    <t>On change password screen</t>
  </si>
  <si>
    <t>1. Enter mismatched new/confirm</t>
  </si>
  <si>
    <t>Error: passwords do not match</t>
  </si>
  <si>
    <t>TC-M-018</t>
  </si>
  <si>
    <t>Switch language EN/AR</t>
  </si>
  <si>
    <t>1. Profile &gt; Language &gt; Arabic</t>
  </si>
  <si>
    <t>App switches to Arabic RTL</t>
  </si>
  <si>
    <t>TC-M-019</t>
  </si>
  <si>
    <t>Update</t>
  </si>
  <si>
    <t>Force update flow</t>
  </si>
  <si>
    <t>Old app version, backend requires newer</t>
  </si>
  <si>
    <t>1. Open app</t>
  </si>
  <si>
    <t>Force-update screen shown; Update Now works</t>
  </si>
  <si>
    <t>TC-M-020</t>
  </si>
  <si>
    <t>Network</t>
  </si>
  <si>
    <t>Offline / network error</t>
  </si>
  <si>
    <t>No connectivity</t>
  </si>
  <si>
    <t>1. Open app / perform action</t>
  </si>
  <si>
    <t>Friendly network error; retry available</t>
  </si>
  <si>
    <t>TC-M-021</t>
  </si>
  <si>
    <t>Connects to demo backend</t>
  </si>
  <si>
    <t>APK build for demo</t>
  </si>
  <si>
    <t>1. Log in / load data</t>
  </si>
  <si>
    <t>Reaches http demo backend (cleartext allowed)</t>
  </si>
  <si>
    <t>network_security_config</t>
  </si>
  <si>
    <t>Test Execution Summary</t>
  </si>
  <si>
    <t>Suite</t>
  </si>
  <si>
    <t>Total</t>
  </si>
  <si>
    <t>Pass</t>
  </si>
  <si>
    <t>Fail</t>
  </si>
  <si>
    <t>Blocked</t>
  </si>
  <si>
    <t>Web Portal</t>
  </si>
  <si>
    <t>Mobile App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</si>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</sst>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23E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4F24-1308-4B19-ACE3-4DA47A8FC9A8}">
  <dimension ref="A1:A24"/>
  <sheetViews>
    <sheetView tabSelected="1" workbookViewId="0"/>
  </sheetViews>
  <sheetFormatPr defaultRowHeight="14.5" x14ac:dyDescent="0.35"/>
  <cols>
    <col min="1" max="1" width="95.6328125" customWidth="1"/>
  </cols>
  <sheetData>
    <row r="1" spans="1:1" ht="19.5" x14ac:dyDescent="0.4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1" spans="1:1" x14ac:dyDescent="0.35">
      <c r="A21" t="s">
        <v>15</v>
      </c>
    </row>
    <row r="22" spans="1:1" x14ac:dyDescent="0.35">
      <c r="A22" t="s">
        <v>16</v>
      </c>
    </row>
    <row r="24" spans="1:1" x14ac:dyDescent="0.35">
      <c r="A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403E-2F04-4467-919B-FFCB16620B9B}">
  <dimension ref="A1:K44"/>
  <sheetViews>
    <sheetView workbookViewId="0">
      <pane ySplit="2" topLeftCell="A3" activePane="bottomLeft" state="frozenSplit"/>
      <selection pane="bottomLeft"/>
    </sheetView>
  </sheetViews>
  <sheetFormatPr defaultRowHeight="14.5" x14ac:dyDescent="0.35"/>
  <cols>
    <col min="1" max="1" width="9.6328125" customWidth="1"/>
    <col min="2" max="2" width="13.6328125" customWidth="1"/>
    <col min="3" max="3" width="9.6328125" customWidth="1"/>
    <col min="4" max="4" width="26.6328125" customWidth="1"/>
    <col min="5" max="5" width="24.6328125" customWidth="1"/>
    <col min="6" max="6" width="40.6328125" customWidth="1"/>
    <col min="7" max="7" width="20.6328125" customWidth="1"/>
    <col min="8" max="8" width="34.6328125" customWidth="1"/>
    <col min="9" max="9" width="22.6328125" customWidth="1"/>
    <col min="10" max="10" width="11.6328125" customWidth="1"/>
    <col min="11" max="11" width="26.6328125" customWidth="1"/>
  </cols>
  <sheetData>
    <row r="1" spans="1:11" ht="24" customHeight="1" x14ac:dyDescent="0.45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11" ht="43.5" x14ac:dyDescent="0.3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/>
      <c r="J3" s="4" t="s">
        <v>275</v>
      </c>
      <c r="K3" s="4" t="s">
        <v>38</v>
      </c>
    </row>
    <row r="4" spans="1:11" ht="43.5" x14ac:dyDescent="0.35">
      <c r="A4" s="4" t="s">
        <v>39</v>
      </c>
      <c r="B4" s="4" t="s">
        <v>31</v>
      </c>
      <c r="C4" s="4" t="s">
        <v>32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/>
      <c r="J4" s="4" t="s">
        <v>275</v>
      </c>
      <c r="K4" s="4"/>
    </row>
    <row r="5" spans="1:11" ht="29" x14ac:dyDescent="0.35">
      <c r="A5" s="4" t="s">
        <v>45</v>
      </c>
      <c r="B5" s="4" t="s">
        <v>31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/>
      <c r="J5" s="4" t="s">
        <v>275</v>
      </c>
      <c r="K5" s="4"/>
    </row>
    <row r="6" spans="1:11" ht="29" x14ac:dyDescent="0.35">
      <c r="A6" s="4" t="s">
        <v>52</v>
      </c>
      <c r="B6" s="4" t="s">
        <v>31</v>
      </c>
      <c r="C6" s="4" t="s">
        <v>32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/>
      <c r="J6" s="4" t="s">
        <v>275</v>
      </c>
      <c r="K6" s="4"/>
    </row>
    <row r="7" spans="1:11" ht="43.5" x14ac:dyDescent="0.35">
      <c r="A7" s="4" t="s">
        <v>58</v>
      </c>
      <c r="B7" s="4" t="s">
        <v>31</v>
      </c>
      <c r="C7" s="4" t="s">
        <v>32</v>
      </c>
      <c r="D7" s="4" t="s">
        <v>59</v>
      </c>
      <c r="E7" s="4" t="s">
        <v>60</v>
      </c>
      <c r="F7" s="4" t="s">
        <v>61</v>
      </c>
      <c r="G7" s="4" t="s">
        <v>36</v>
      </c>
      <c r="H7" s="4" t="s">
        <v>62</v>
      </c>
      <c r="I7" s="4"/>
      <c r="J7" s="4" t="s">
        <v>275</v>
      </c>
      <c r="K7" s="4" t="s">
        <v>63</v>
      </c>
    </row>
    <row r="8" spans="1:11" ht="43.5" x14ac:dyDescent="0.35">
      <c r="A8" s="4" t="s">
        <v>64</v>
      </c>
      <c r="B8" s="4" t="s">
        <v>31</v>
      </c>
      <c r="C8" s="4" t="s">
        <v>32</v>
      </c>
      <c r="D8" s="4" t="s">
        <v>65</v>
      </c>
      <c r="E8" s="4" t="s">
        <v>66</v>
      </c>
      <c r="F8" s="4" t="s">
        <v>67</v>
      </c>
      <c r="G8" s="4" t="s">
        <v>56</v>
      </c>
      <c r="H8" s="4" t="s">
        <v>68</v>
      </c>
      <c r="I8" s="4"/>
      <c r="J8" s="4" t="s">
        <v>275</v>
      </c>
      <c r="K8" s="4" t="s">
        <v>69</v>
      </c>
    </row>
    <row r="9" spans="1:11" ht="29" x14ac:dyDescent="0.35">
      <c r="A9" s="4" t="s">
        <v>70</v>
      </c>
      <c r="B9" s="4" t="s">
        <v>71</v>
      </c>
      <c r="C9" s="4" t="s">
        <v>32</v>
      </c>
      <c r="D9" s="4" t="s">
        <v>72</v>
      </c>
      <c r="E9" s="4" t="s">
        <v>48</v>
      </c>
      <c r="F9" s="4" t="s">
        <v>73</v>
      </c>
      <c r="G9" s="4" t="s">
        <v>56</v>
      </c>
      <c r="H9" s="4" t="s">
        <v>74</v>
      </c>
      <c r="I9" s="4"/>
      <c r="J9" s="4" t="s">
        <v>275</v>
      </c>
      <c r="K9" s="4"/>
    </row>
    <row r="10" spans="1:11" ht="29" x14ac:dyDescent="0.35">
      <c r="A10" s="4" t="s">
        <v>75</v>
      </c>
      <c r="B10" s="4" t="s">
        <v>71</v>
      </c>
      <c r="C10" s="4" t="s">
        <v>46</v>
      </c>
      <c r="D10" s="4" t="s">
        <v>76</v>
      </c>
      <c r="E10" s="4" t="s">
        <v>77</v>
      </c>
      <c r="F10" s="4" t="s">
        <v>78</v>
      </c>
      <c r="G10" s="4" t="s">
        <v>56</v>
      </c>
      <c r="H10" s="4" t="s">
        <v>79</v>
      </c>
      <c r="I10" s="4"/>
      <c r="J10" s="4" t="s">
        <v>275</v>
      </c>
      <c r="K10" s="4"/>
    </row>
    <row r="11" spans="1:11" ht="29" x14ac:dyDescent="0.35">
      <c r="A11" s="4" t="s">
        <v>80</v>
      </c>
      <c r="B11" s="4" t="s">
        <v>71</v>
      </c>
      <c r="C11" s="4" t="s">
        <v>46</v>
      </c>
      <c r="D11" s="4" t="s">
        <v>81</v>
      </c>
      <c r="E11" s="4" t="s">
        <v>77</v>
      </c>
      <c r="F11" s="4" t="s">
        <v>82</v>
      </c>
      <c r="G11" s="4" t="s">
        <v>56</v>
      </c>
      <c r="H11" s="4" t="s">
        <v>83</v>
      </c>
      <c r="I11" s="4"/>
      <c r="J11" s="4" t="s">
        <v>275</v>
      </c>
      <c r="K11" s="4"/>
    </row>
    <row r="12" spans="1:11" x14ac:dyDescent="0.35">
      <c r="A12" s="4" t="s">
        <v>84</v>
      </c>
      <c r="B12" s="4" t="s">
        <v>71</v>
      </c>
      <c r="C12" s="4" t="s">
        <v>85</v>
      </c>
      <c r="D12" s="4" t="s">
        <v>86</v>
      </c>
      <c r="E12" s="4" t="s">
        <v>77</v>
      </c>
      <c r="F12" s="4" t="s">
        <v>87</v>
      </c>
      <c r="G12" s="4" t="s">
        <v>56</v>
      </c>
      <c r="H12" s="4" t="s">
        <v>88</v>
      </c>
      <c r="I12" s="4"/>
      <c r="J12" s="4" t="s">
        <v>275</v>
      </c>
      <c r="K12" s="4"/>
    </row>
    <row r="13" spans="1:11" ht="43.5" x14ac:dyDescent="0.35">
      <c r="A13" s="4" t="s">
        <v>89</v>
      </c>
      <c r="B13" s="4" t="s">
        <v>90</v>
      </c>
      <c r="C13" s="4" t="s">
        <v>32</v>
      </c>
      <c r="D13" s="4" t="s">
        <v>91</v>
      </c>
      <c r="E13" s="4" t="s">
        <v>92</v>
      </c>
      <c r="F13" s="4" t="s">
        <v>93</v>
      </c>
      <c r="G13" s="4" t="s">
        <v>94</v>
      </c>
      <c r="H13" s="4" t="s">
        <v>95</v>
      </c>
      <c r="I13" s="4"/>
      <c r="J13" s="4" t="s">
        <v>275</v>
      </c>
      <c r="K13" s="4" t="s">
        <v>96</v>
      </c>
    </row>
    <row r="14" spans="1:11" ht="29" x14ac:dyDescent="0.35">
      <c r="A14" s="4" t="s">
        <v>97</v>
      </c>
      <c r="B14" s="4" t="s">
        <v>90</v>
      </c>
      <c r="C14" s="4" t="s">
        <v>32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/>
      <c r="J14" s="4" t="s">
        <v>275</v>
      </c>
      <c r="K14" s="4"/>
    </row>
    <row r="15" spans="1:11" ht="43.5" x14ac:dyDescent="0.35">
      <c r="A15" s="4" t="s">
        <v>103</v>
      </c>
      <c r="B15" s="4" t="s">
        <v>90</v>
      </c>
      <c r="C15" s="4" t="s">
        <v>46</v>
      </c>
      <c r="D15" s="4" t="s">
        <v>104</v>
      </c>
      <c r="E15" s="4" t="s">
        <v>105</v>
      </c>
      <c r="F15" s="4" t="s">
        <v>106</v>
      </c>
      <c r="G15" s="4" t="s">
        <v>56</v>
      </c>
      <c r="H15" s="4" t="s">
        <v>107</v>
      </c>
      <c r="I15" s="4"/>
      <c r="J15" s="4" t="s">
        <v>275</v>
      </c>
      <c r="K15" s="4"/>
    </row>
    <row r="16" spans="1:11" ht="29" x14ac:dyDescent="0.35">
      <c r="A16" s="4" t="s">
        <v>108</v>
      </c>
      <c r="B16" s="4" t="s">
        <v>90</v>
      </c>
      <c r="C16" s="4" t="s">
        <v>85</v>
      </c>
      <c r="D16" s="4" t="s">
        <v>109</v>
      </c>
      <c r="E16" s="4" t="s">
        <v>110</v>
      </c>
      <c r="F16" s="4" t="s">
        <v>111</v>
      </c>
      <c r="G16" s="4" t="s">
        <v>56</v>
      </c>
      <c r="H16" s="4" t="s">
        <v>112</v>
      </c>
      <c r="I16" s="4"/>
      <c r="J16" s="4" t="s">
        <v>275</v>
      </c>
      <c r="K16" s="4"/>
    </row>
    <row r="17" spans="1:11" ht="43.5" x14ac:dyDescent="0.35">
      <c r="A17" s="4" t="s">
        <v>113</v>
      </c>
      <c r="B17" s="4" t="s">
        <v>114</v>
      </c>
      <c r="C17" s="4" t="s">
        <v>32</v>
      </c>
      <c r="D17" s="4" t="s">
        <v>115</v>
      </c>
      <c r="E17" s="4" t="s">
        <v>105</v>
      </c>
      <c r="F17" s="4" t="s">
        <v>116</v>
      </c>
      <c r="G17" s="4" t="s">
        <v>117</v>
      </c>
      <c r="H17" s="4" t="s">
        <v>118</v>
      </c>
      <c r="I17" s="4"/>
      <c r="J17" s="4" t="s">
        <v>275</v>
      </c>
      <c r="K17" s="4"/>
    </row>
    <row r="18" spans="1:11" x14ac:dyDescent="0.35">
      <c r="A18" s="4" t="s">
        <v>119</v>
      </c>
      <c r="B18" s="4" t="s">
        <v>114</v>
      </c>
      <c r="C18" s="4" t="s">
        <v>46</v>
      </c>
      <c r="D18" s="4" t="s">
        <v>120</v>
      </c>
      <c r="E18" s="4" t="s">
        <v>121</v>
      </c>
      <c r="F18" s="4" t="s">
        <v>122</v>
      </c>
      <c r="G18" s="4" t="s">
        <v>56</v>
      </c>
      <c r="H18" s="4" t="s">
        <v>123</v>
      </c>
      <c r="I18" s="4"/>
      <c r="J18" s="4" t="s">
        <v>275</v>
      </c>
      <c r="K18" s="4"/>
    </row>
    <row r="19" spans="1:11" ht="43.5" x14ac:dyDescent="0.35">
      <c r="A19" s="4" t="s">
        <v>124</v>
      </c>
      <c r="B19" s="4" t="s">
        <v>125</v>
      </c>
      <c r="C19" s="4" t="s">
        <v>32</v>
      </c>
      <c r="D19" s="4" t="s">
        <v>126</v>
      </c>
      <c r="E19" s="4" t="s">
        <v>127</v>
      </c>
      <c r="F19" s="4" t="s">
        <v>128</v>
      </c>
      <c r="G19" s="4" t="s">
        <v>129</v>
      </c>
      <c r="H19" s="4" t="s">
        <v>130</v>
      </c>
      <c r="I19" s="4"/>
      <c r="J19" s="4" t="s">
        <v>275</v>
      </c>
      <c r="K19" s="4" t="s">
        <v>131</v>
      </c>
    </row>
    <row r="20" spans="1:11" ht="29" x14ac:dyDescent="0.35">
      <c r="A20" s="4" t="s">
        <v>132</v>
      </c>
      <c r="B20" s="4" t="s">
        <v>125</v>
      </c>
      <c r="C20" s="4" t="s">
        <v>46</v>
      </c>
      <c r="D20" s="4" t="s">
        <v>133</v>
      </c>
      <c r="E20" s="4" t="s">
        <v>134</v>
      </c>
      <c r="F20" s="4" t="s">
        <v>135</v>
      </c>
      <c r="G20" s="4" t="s">
        <v>56</v>
      </c>
      <c r="H20" s="4" t="s">
        <v>136</v>
      </c>
      <c r="I20" s="4"/>
      <c r="J20" s="4" t="s">
        <v>275</v>
      </c>
      <c r="K20" s="4"/>
    </row>
    <row r="21" spans="1:11" ht="29" x14ac:dyDescent="0.35">
      <c r="A21" s="4" t="s">
        <v>137</v>
      </c>
      <c r="B21" s="4" t="s">
        <v>125</v>
      </c>
      <c r="C21" s="4" t="s">
        <v>32</v>
      </c>
      <c r="D21" s="4" t="s">
        <v>138</v>
      </c>
      <c r="E21" s="4" t="s">
        <v>134</v>
      </c>
      <c r="F21" s="4" t="s">
        <v>139</v>
      </c>
      <c r="G21" s="4">
        <v>12345</v>
      </c>
      <c r="H21" s="4" t="s">
        <v>140</v>
      </c>
      <c r="I21" s="4"/>
      <c r="J21" s="4" t="s">
        <v>275</v>
      </c>
      <c r="K21" s="4"/>
    </row>
    <row r="22" spans="1:11" ht="29" x14ac:dyDescent="0.35">
      <c r="A22" s="4" t="s">
        <v>141</v>
      </c>
      <c r="B22" s="4" t="s">
        <v>125</v>
      </c>
      <c r="C22" s="4" t="s">
        <v>32</v>
      </c>
      <c r="D22" s="4" t="s">
        <v>142</v>
      </c>
      <c r="E22" s="4" t="s">
        <v>143</v>
      </c>
      <c r="F22" s="4" t="s">
        <v>144</v>
      </c>
      <c r="G22" s="4" t="s">
        <v>56</v>
      </c>
      <c r="H22" s="4" t="s">
        <v>145</v>
      </c>
      <c r="I22" s="4"/>
      <c r="J22" s="4" t="s">
        <v>275</v>
      </c>
      <c r="K22" s="4" t="s">
        <v>146</v>
      </c>
    </row>
    <row r="23" spans="1:11" ht="29" x14ac:dyDescent="0.35">
      <c r="A23" s="4" t="s">
        <v>147</v>
      </c>
      <c r="B23" s="4" t="s">
        <v>125</v>
      </c>
      <c r="C23" s="4" t="s">
        <v>46</v>
      </c>
      <c r="D23" s="4" t="s">
        <v>148</v>
      </c>
      <c r="E23" s="4" t="s">
        <v>149</v>
      </c>
      <c r="F23" s="4" t="s">
        <v>150</v>
      </c>
      <c r="G23" s="4" t="s">
        <v>56</v>
      </c>
      <c r="H23" s="4" t="s">
        <v>151</v>
      </c>
      <c r="I23" s="4"/>
      <c r="J23" s="4" t="s">
        <v>275</v>
      </c>
      <c r="K23" s="4"/>
    </row>
    <row r="24" spans="1:11" ht="29" x14ac:dyDescent="0.35">
      <c r="A24" s="4" t="s">
        <v>152</v>
      </c>
      <c r="B24" s="4" t="s">
        <v>125</v>
      </c>
      <c r="C24" s="4" t="s">
        <v>85</v>
      </c>
      <c r="D24" s="4" t="s">
        <v>153</v>
      </c>
      <c r="E24" s="4" t="s">
        <v>154</v>
      </c>
      <c r="F24" s="4" t="s">
        <v>155</v>
      </c>
      <c r="G24" s="4" t="s">
        <v>56</v>
      </c>
      <c r="H24" s="4" t="s">
        <v>156</v>
      </c>
      <c r="I24" s="4"/>
      <c r="J24" s="4" t="s">
        <v>275</v>
      </c>
      <c r="K24" s="4"/>
    </row>
    <row r="25" spans="1:11" ht="29" x14ac:dyDescent="0.35">
      <c r="A25" s="4" t="s">
        <v>157</v>
      </c>
      <c r="B25" s="4" t="s">
        <v>125</v>
      </c>
      <c r="C25" s="4" t="s">
        <v>46</v>
      </c>
      <c r="D25" s="4" t="s">
        <v>158</v>
      </c>
      <c r="E25" s="4" t="s">
        <v>159</v>
      </c>
      <c r="F25" s="4" t="s">
        <v>160</v>
      </c>
      <c r="G25" s="4" t="s">
        <v>56</v>
      </c>
      <c r="H25" s="4" t="s">
        <v>161</v>
      </c>
      <c r="I25" s="4"/>
      <c r="J25" s="4" t="s">
        <v>275</v>
      </c>
      <c r="K25" s="4"/>
    </row>
    <row r="26" spans="1:11" ht="43.5" x14ac:dyDescent="0.35">
      <c r="A26" s="4" t="s">
        <v>162</v>
      </c>
      <c r="B26" s="4" t="s">
        <v>163</v>
      </c>
      <c r="C26" s="4" t="s">
        <v>32</v>
      </c>
      <c r="D26" s="4" t="s">
        <v>164</v>
      </c>
      <c r="E26" s="4" t="s">
        <v>165</v>
      </c>
      <c r="F26" s="4" t="s">
        <v>166</v>
      </c>
      <c r="G26" s="4" t="s">
        <v>117</v>
      </c>
      <c r="H26" s="4" t="s">
        <v>167</v>
      </c>
      <c r="I26" s="4"/>
      <c r="J26" s="4" t="s">
        <v>275</v>
      </c>
      <c r="K26" s="4" t="s">
        <v>168</v>
      </c>
    </row>
    <row r="27" spans="1:11" ht="29" x14ac:dyDescent="0.35">
      <c r="A27" s="4" t="s">
        <v>169</v>
      </c>
      <c r="B27" s="4" t="s">
        <v>163</v>
      </c>
      <c r="C27" s="4" t="s">
        <v>32</v>
      </c>
      <c r="D27" s="4" t="s">
        <v>170</v>
      </c>
      <c r="E27" s="4" t="s">
        <v>171</v>
      </c>
      <c r="F27" s="4" t="s">
        <v>172</v>
      </c>
      <c r="G27" s="4" t="s">
        <v>56</v>
      </c>
      <c r="H27" s="4" t="s">
        <v>173</v>
      </c>
      <c r="I27" s="4"/>
      <c r="J27" s="4" t="s">
        <v>275</v>
      </c>
      <c r="K27" s="4"/>
    </row>
    <row r="28" spans="1:11" ht="29" x14ac:dyDescent="0.35">
      <c r="A28" s="4" t="s">
        <v>174</v>
      </c>
      <c r="B28" s="4" t="s">
        <v>163</v>
      </c>
      <c r="C28" s="4" t="s">
        <v>32</v>
      </c>
      <c r="D28" s="4" t="s">
        <v>175</v>
      </c>
      <c r="E28" s="4" t="s">
        <v>176</v>
      </c>
      <c r="F28" s="4" t="s">
        <v>177</v>
      </c>
      <c r="G28" s="4" t="s">
        <v>178</v>
      </c>
      <c r="H28" s="4" t="s">
        <v>179</v>
      </c>
      <c r="I28" s="4"/>
      <c r="J28" s="4" t="s">
        <v>275</v>
      </c>
      <c r="K28" s="4" t="s">
        <v>180</v>
      </c>
    </row>
    <row r="29" spans="1:11" ht="29" x14ac:dyDescent="0.35">
      <c r="A29" s="4" t="s">
        <v>181</v>
      </c>
      <c r="B29" s="4" t="s">
        <v>182</v>
      </c>
      <c r="C29" s="4" t="s">
        <v>32</v>
      </c>
      <c r="D29" s="4" t="s">
        <v>183</v>
      </c>
      <c r="E29" s="4" t="s">
        <v>184</v>
      </c>
      <c r="F29" s="4" t="s">
        <v>185</v>
      </c>
      <c r="G29" s="4" t="s">
        <v>56</v>
      </c>
      <c r="H29" s="4" t="s">
        <v>186</v>
      </c>
      <c r="I29" s="4"/>
      <c r="J29" s="4" t="s">
        <v>275</v>
      </c>
      <c r="K29" s="4"/>
    </row>
    <row r="30" spans="1:11" ht="29" x14ac:dyDescent="0.35">
      <c r="A30" s="4" t="s">
        <v>187</v>
      </c>
      <c r="B30" s="4" t="s">
        <v>182</v>
      </c>
      <c r="C30" s="4" t="s">
        <v>32</v>
      </c>
      <c r="D30" s="4" t="s">
        <v>188</v>
      </c>
      <c r="E30" s="4" t="s">
        <v>189</v>
      </c>
      <c r="F30" s="4" t="s">
        <v>190</v>
      </c>
      <c r="G30" s="4" t="s">
        <v>56</v>
      </c>
      <c r="H30" s="4" t="s">
        <v>191</v>
      </c>
      <c r="I30" s="4"/>
      <c r="J30" s="4" t="s">
        <v>275</v>
      </c>
      <c r="K30" s="4" t="s">
        <v>192</v>
      </c>
    </row>
    <row r="31" spans="1:11" ht="43.5" x14ac:dyDescent="0.35">
      <c r="A31" s="4" t="s">
        <v>193</v>
      </c>
      <c r="B31" s="4" t="s">
        <v>194</v>
      </c>
      <c r="C31" s="4" t="s">
        <v>32</v>
      </c>
      <c r="D31" s="4" t="s">
        <v>195</v>
      </c>
      <c r="E31" s="4" t="s">
        <v>196</v>
      </c>
      <c r="F31" s="4" t="s">
        <v>197</v>
      </c>
      <c r="G31" s="4" t="s">
        <v>198</v>
      </c>
      <c r="H31" s="4" t="s">
        <v>199</v>
      </c>
      <c r="I31" s="4"/>
      <c r="J31" s="4" t="s">
        <v>275</v>
      </c>
      <c r="K31" s="4"/>
    </row>
    <row r="32" spans="1:11" x14ac:dyDescent="0.35">
      <c r="A32" s="4" t="s">
        <v>200</v>
      </c>
      <c r="B32" s="4" t="s">
        <v>194</v>
      </c>
      <c r="C32" s="4" t="s">
        <v>46</v>
      </c>
      <c r="D32" s="4" t="s">
        <v>201</v>
      </c>
      <c r="E32" s="4" t="s">
        <v>202</v>
      </c>
      <c r="F32" s="4" t="s">
        <v>203</v>
      </c>
      <c r="G32" s="4">
        <v>100.125</v>
      </c>
      <c r="H32" s="4" t="s">
        <v>204</v>
      </c>
      <c r="I32" s="4"/>
      <c r="J32" s="4" t="s">
        <v>275</v>
      </c>
      <c r="K32" s="4" t="s">
        <v>205</v>
      </c>
    </row>
    <row r="33" spans="1:11" ht="29" x14ac:dyDescent="0.35">
      <c r="A33" s="4" t="s">
        <v>206</v>
      </c>
      <c r="B33" s="4" t="s">
        <v>194</v>
      </c>
      <c r="C33" s="4" t="s">
        <v>32</v>
      </c>
      <c r="D33" s="4" t="s">
        <v>207</v>
      </c>
      <c r="E33" s="4" t="s">
        <v>208</v>
      </c>
      <c r="F33" s="4" t="s">
        <v>209</v>
      </c>
      <c r="G33" s="4" t="s">
        <v>56</v>
      </c>
      <c r="H33" s="4" t="s">
        <v>210</v>
      </c>
      <c r="I33" s="4"/>
      <c r="J33" s="4" t="s">
        <v>275</v>
      </c>
      <c r="K33" s="4"/>
    </row>
    <row r="34" spans="1:11" ht="29" x14ac:dyDescent="0.35">
      <c r="A34" s="4" t="s">
        <v>211</v>
      </c>
      <c r="B34" s="4" t="s">
        <v>194</v>
      </c>
      <c r="C34" s="4" t="s">
        <v>32</v>
      </c>
      <c r="D34" s="4" t="s">
        <v>212</v>
      </c>
      <c r="E34" s="4" t="s">
        <v>213</v>
      </c>
      <c r="F34" s="4" t="s">
        <v>214</v>
      </c>
      <c r="G34" s="4" t="s">
        <v>56</v>
      </c>
      <c r="H34" s="4" t="s">
        <v>215</v>
      </c>
      <c r="I34" s="4"/>
      <c r="J34" s="4" t="s">
        <v>275</v>
      </c>
      <c r="K34" s="4"/>
    </row>
    <row r="35" spans="1:11" ht="29" x14ac:dyDescent="0.35">
      <c r="A35" s="4" t="s">
        <v>216</v>
      </c>
      <c r="B35" s="4" t="s">
        <v>217</v>
      </c>
      <c r="C35" s="4" t="s">
        <v>32</v>
      </c>
      <c r="D35" s="4" t="s">
        <v>218</v>
      </c>
      <c r="E35" s="4" t="s">
        <v>219</v>
      </c>
      <c r="F35" s="4" t="s">
        <v>220</v>
      </c>
      <c r="G35" s="4" t="s">
        <v>56</v>
      </c>
      <c r="H35" s="4" t="s">
        <v>221</v>
      </c>
      <c r="I35" s="4"/>
      <c r="J35" s="4" t="s">
        <v>275</v>
      </c>
      <c r="K35" s="4"/>
    </row>
    <row r="36" spans="1:11" x14ac:dyDescent="0.35">
      <c r="A36" s="4" t="s">
        <v>222</v>
      </c>
      <c r="B36" s="4" t="s">
        <v>217</v>
      </c>
      <c r="C36" s="4" t="s">
        <v>223</v>
      </c>
      <c r="D36" s="4" t="s">
        <v>224</v>
      </c>
      <c r="E36" s="4" t="s">
        <v>225</v>
      </c>
      <c r="F36" s="4" t="s">
        <v>226</v>
      </c>
      <c r="G36" s="4" t="s">
        <v>56</v>
      </c>
      <c r="H36" s="4" t="s">
        <v>227</v>
      </c>
      <c r="I36" s="4"/>
      <c r="J36" s="4" t="s">
        <v>275</v>
      </c>
      <c r="K36" s="4" t="s">
        <v>228</v>
      </c>
    </row>
    <row r="37" spans="1:11" ht="29" x14ac:dyDescent="0.35">
      <c r="A37" s="4" t="s">
        <v>229</v>
      </c>
      <c r="B37" s="4" t="s">
        <v>217</v>
      </c>
      <c r="C37" s="4" t="s">
        <v>32</v>
      </c>
      <c r="D37" s="4" t="s">
        <v>230</v>
      </c>
      <c r="E37" s="4" t="s">
        <v>231</v>
      </c>
      <c r="F37" s="4" t="s">
        <v>232</v>
      </c>
      <c r="G37" s="4" t="s">
        <v>56</v>
      </c>
      <c r="H37" s="4" t="s">
        <v>233</v>
      </c>
      <c r="I37" s="4"/>
      <c r="J37" s="4" t="s">
        <v>275</v>
      </c>
      <c r="K37" s="4"/>
    </row>
    <row r="38" spans="1:11" ht="29" x14ac:dyDescent="0.35">
      <c r="A38" s="4" t="s">
        <v>234</v>
      </c>
      <c r="B38" s="4" t="s">
        <v>217</v>
      </c>
      <c r="C38" s="4" t="s">
        <v>223</v>
      </c>
      <c r="D38" s="4" t="s">
        <v>235</v>
      </c>
      <c r="E38" s="4" t="s">
        <v>236</v>
      </c>
      <c r="F38" s="4" t="s">
        <v>237</v>
      </c>
      <c r="G38" s="4" t="s">
        <v>56</v>
      </c>
      <c r="H38" s="4" t="s">
        <v>238</v>
      </c>
      <c r="I38" s="4"/>
      <c r="J38" s="4" t="s">
        <v>275</v>
      </c>
      <c r="K38" s="4" t="s">
        <v>228</v>
      </c>
    </row>
    <row r="39" spans="1:11" x14ac:dyDescent="0.35">
      <c r="A39" s="4" t="s">
        <v>239</v>
      </c>
      <c r="B39" s="4" t="s">
        <v>217</v>
      </c>
      <c r="C39" s="4" t="s">
        <v>32</v>
      </c>
      <c r="D39" s="4" t="s">
        <v>240</v>
      </c>
      <c r="E39" s="4" t="s">
        <v>241</v>
      </c>
      <c r="F39" s="4" t="s">
        <v>242</v>
      </c>
      <c r="G39" s="4" t="s">
        <v>56</v>
      </c>
      <c r="H39" s="4" t="s">
        <v>243</v>
      </c>
      <c r="I39" s="4"/>
      <c r="J39" s="4" t="s">
        <v>275</v>
      </c>
      <c r="K39" s="4"/>
    </row>
    <row r="40" spans="1:11" ht="29" x14ac:dyDescent="0.35">
      <c r="A40" s="4" t="s">
        <v>244</v>
      </c>
      <c r="B40" s="4" t="s">
        <v>245</v>
      </c>
      <c r="C40" s="4" t="s">
        <v>32</v>
      </c>
      <c r="D40" s="4" t="s">
        <v>246</v>
      </c>
      <c r="E40" s="4" t="s">
        <v>247</v>
      </c>
      <c r="F40" s="4" t="s">
        <v>248</v>
      </c>
      <c r="G40" s="4" t="s">
        <v>56</v>
      </c>
      <c r="H40" s="4" t="s">
        <v>249</v>
      </c>
      <c r="I40" s="4"/>
      <c r="J40" s="4" t="s">
        <v>275</v>
      </c>
      <c r="K40" s="4" t="s">
        <v>250</v>
      </c>
    </row>
    <row r="41" spans="1:11" ht="29" x14ac:dyDescent="0.35">
      <c r="A41" s="4" t="s">
        <v>251</v>
      </c>
      <c r="B41" s="4" t="s">
        <v>252</v>
      </c>
      <c r="C41" s="4" t="s">
        <v>46</v>
      </c>
      <c r="D41" s="4" t="s">
        <v>253</v>
      </c>
      <c r="E41" s="4" t="s">
        <v>254</v>
      </c>
      <c r="F41" s="4" t="s">
        <v>255</v>
      </c>
      <c r="G41" s="4" t="s">
        <v>56</v>
      </c>
      <c r="H41" s="4" t="s">
        <v>256</v>
      </c>
      <c r="I41" s="4"/>
      <c r="J41" s="4" t="s">
        <v>275</v>
      </c>
      <c r="K41" s="4"/>
    </row>
    <row r="42" spans="1:11" ht="29" x14ac:dyDescent="0.35">
      <c r="A42" s="4" t="s">
        <v>257</v>
      </c>
      <c r="B42" s="4" t="s">
        <v>252</v>
      </c>
      <c r="C42" s="4" t="s">
        <v>85</v>
      </c>
      <c r="D42" s="4" t="s">
        <v>258</v>
      </c>
      <c r="E42" s="4" t="s">
        <v>259</v>
      </c>
      <c r="F42" s="4" t="s">
        <v>260</v>
      </c>
      <c r="G42" s="4" t="s">
        <v>56</v>
      </c>
      <c r="H42" s="4" t="s">
        <v>261</v>
      </c>
      <c r="I42" s="4"/>
      <c r="J42" s="4" t="s">
        <v>275</v>
      </c>
      <c r="K42" s="4"/>
    </row>
    <row r="43" spans="1:11" x14ac:dyDescent="0.35">
      <c r="A43" s="4" t="s">
        <v>262</v>
      </c>
      <c r="B43" s="4" t="s">
        <v>263</v>
      </c>
      <c r="C43" s="4" t="s">
        <v>46</v>
      </c>
      <c r="D43" s="4" t="s">
        <v>264</v>
      </c>
      <c r="E43" s="4" t="s">
        <v>265</v>
      </c>
      <c r="F43" s="4" t="s">
        <v>266</v>
      </c>
      <c r="G43" s="4" t="s">
        <v>56</v>
      </c>
      <c r="H43" s="4" t="s">
        <v>267</v>
      </c>
      <c r="I43" s="4"/>
      <c r="J43" s="4" t="s">
        <v>275</v>
      </c>
      <c r="K43" s="4" t="s">
        <v>268</v>
      </c>
    </row>
    <row r="44" spans="1:11" x14ac:dyDescent="0.35">
      <c r="A44" s="4" t="s">
        <v>269</v>
      </c>
      <c r="B44" s="4" t="s">
        <v>270</v>
      </c>
      <c r="C44" s="4" t="s">
        <v>85</v>
      </c>
      <c r="D44" s="4" t="s">
        <v>271</v>
      </c>
      <c r="E44" s="4" t="s">
        <v>272</v>
      </c>
      <c r="F44" s="4" t="s">
        <v>273</v>
      </c>
      <c r="G44" s="4" t="s">
        <v>56</v>
      </c>
      <c r="H44" s="4" t="s">
        <v>274</v>
      </c>
      <c r="I44" s="4"/>
      <c r="J44" s="4" t="s">
        <v>275</v>
      </c>
      <c r="K44" s="4"/>
    </row>
  </sheetData>
  <autoFilter ref="A2:K2" xr:uid="{D7F5403E-2F04-4467-919B-FFCB16620B9B}"/>
  <mergeCells count="1">
    <mergeCell ref="A1:K1"/>
  </mergeCells>
  <dataValidations count="1">
    <dataValidation type="list" allowBlank="1" showInputMessage="1" showErrorMessage="1" sqref="J3:J44" xr:uid="{5B84E90B-A6DC-41E1-AFCF-280D39B6F541}">
      <formula1>"Not Run,Pass,Fail,Blocked"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317-E275-4EA0-8A02-2FCFB75F875C}">
  <dimension ref="A1:K23"/>
  <sheetViews>
    <sheetView workbookViewId="0">
      <pane ySplit="2" topLeftCell="A3" activePane="bottomLeft" state="frozenSplit"/>
      <selection pane="bottomLeft"/>
    </sheetView>
  </sheetViews>
  <sheetFormatPr defaultRowHeight="14.5" x14ac:dyDescent="0.35"/>
  <cols>
    <col min="1" max="1" width="9.6328125" customWidth="1"/>
    <col min="2" max="2" width="13.6328125" customWidth="1"/>
    <col min="3" max="3" width="9.6328125" customWidth="1"/>
    <col min="4" max="4" width="26.6328125" customWidth="1"/>
    <col min="5" max="5" width="24.6328125" customWidth="1"/>
    <col min="6" max="6" width="40.6328125" customWidth="1"/>
    <col min="7" max="7" width="20.6328125" customWidth="1"/>
    <col min="8" max="8" width="34.6328125" customWidth="1"/>
    <col min="9" max="9" width="22.6328125" customWidth="1"/>
    <col min="10" max="10" width="11.6328125" customWidth="1"/>
    <col min="11" max="11" width="26.6328125" customWidth="1"/>
  </cols>
  <sheetData>
    <row r="1" spans="1:11" ht="24" customHeight="1" x14ac:dyDescent="0.45">
      <c r="A1" s="2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11" ht="43.5" x14ac:dyDescent="0.35">
      <c r="A3" s="4" t="s">
        <v>277</v>
      </c>
      <c r="B3" s="4" t="s">
        <v>31</v>
      </c>
      <c r="C3" s="4" t="s">
        <v>32</v>
      </c>
      <c r="D3" s="4" t="s">
        <v>278</v>
      </c>
      <c r="E3" s="4" t="s">
        <v>279</v>
      </c>
      <c r="F3" s="4" t="s">
        <v>280</v>
      </c>
      <c r="G3" s="4" t="s">
        <v>281</v>
      </c>
      <c r="H3" s="4" t="s">
        <v>282</v>
      </c>
      <c r="I3" s="4"/>
      <c r="J3" s="4" t="s">
        <v>275</v>
      </c>
      <c r="K3" s="4"/>
    </row>
    <row r="4" spans="1:11" ht="29" x14ac:dyDescent="0.35">
      <c r="A4" s="4" t="s">
        <v>283</v>
      </c>
      <c r="B4" s="4" t="s">
        <v>31</v>
      </c>
      <c r="C4" s="4" t="s">
        <v>32</v>
      </c>
      <c r="D4" s="4" t="s">
        <v>284</v>
      </c>
      <c r="E4" s="4" t="s">
        <v>285</v>
      </c>
      <c r="F4" s="4" t="s">
        <v>286</v>
      </c>
      <c r="G4" s="4" t="s">
        <v>287</v>
      </c>
      <c r="H4" s="4" t="s">
        <v>288</v>
      </c>
      <c r="I4" s="4"/>
      <c r="J4" s="4" t="s">
        <v>275</v>
      </c>
      <c r="K4" s="4"/>
    </row>
    <row r="5" spans="1:11" x14ac:dyDescent="0.35">
      <c r="A5" s="4" t="s">
        <v>289</v>
      </c>
      <c r="B5" s="4" t="s">
        <v>31</v>
      </c>
      <c r="C5" s="4" t="s">
        <v>46</v>
      </c>
      <c r="D5" s="4" t="s">
        <v>290</v>
      </c>
      <c r="E5" s="4" t="s">
        <v>291</v>
      </c>
      <c r="F5" s="4" t="s">
        <v>292</v>
      </c>
      <c r="G5" s="4">
        <v>19990112345</v>
      </c>
      <c r="H5" s="4" t="s">
        <v>293</v>
      </c>
      <c r="I5" s="4"/>
      <c r="J5" s="4" t="s">
        <v>275</v>
      </c>
      <c r="K5" s="4"/>
    </row>
    <row r="6" spans="1:11" ht="43.5" x14ac:dyDescent="0.35">
      <c r="A6" s="4" t="s">
        <v>294</v>
      </c>
      <c r="B6" s="4" t="s">
        <v>31</v>
      </c>
      <c r="C6" s="4" t="s">
        <v>85</v>
      </c>
      <c r="D6" s="4" t="s">
        <v>295</v>
      </c>
      <c r="E6" s="4" t="s">
        <v>291</v>
      </c>
      <c r="F6" s="4" t="s">
        <v>296</v>
      </c>
      <c r="G6" s="4" t="s">
        <v>56</v>
      </c>
      <c r="H6" s="4" t="s">
        <v>297</v>
      </c>
      <c r="I6" s="4"/>
      <c r="J6" s="4" t="s">
        <v>275</v>
      </c>
      <c r="K6" s="4"/>
    </row>
    <row r="7" spans="1:11" ht="29" x14ac:dyDescent="0.35">
      <c r="A7" s="4" t="s">
        <v>298</v>
      </c>
      <c r="B7" s="4" t="s">
        <v>31</v>
      </c>
      <c r="C7" s="4" t="s">
        <v>46</v>
      </c>
      <c r="D7" s="4" t="s">
        <v>53</v>
      </c>
      <c r="E7" s="4" t="s">
        <v>66</v>
      </c>
      <c r="F7" s="4" t="s">
        <v>299</v>
      </c>
      <c r="G7" s="4" t="s">
        <v>56</v>
      </c>
      <c r="H7" s="4" t="s">
        <v>300</v>
      </c>
      <c r="I7" s="4"/>
      <c r="J7" s="4" t="s">
        <v>275</v>
      </c>
      <c r="K7" s="4"/>
    </row>
    <row r="8" spans="1:11" ht="29" x14ac:dyDescent="0.35">
      <c r="A8" s="4" t="s">
        <v>301</v>
      </c>
      <c r="B8" s="4" t="s">
        <v>31</v>
      </c>
      <c r="C8" s="4" t="s">
        <v>46</v>
      </c>
      <c r="D8" s="4" t="s">
        <v>302</v>
      </c>
      <c r="E8" s="4" t="s">
        <v>303</v>
      </c>
      <c r="F8" s="4" t="s">
        <v>304</v>
      </c>
      <c r="G8" s="4" t="s">
        <v>56</v>
      </c>
      <c r="H8" s="4" t="s">
        <v>305</v>
      </c>
      <c r="I8" s="4"/>
      <c r="J8" s="4" t="s">
        <v>275</v>
      </c>
      <c r="K8" s="4"/>
    </row>
    <row r="9" spans="1:11" ht="29" x14ac:dyDescent="0.35">
      <c r="A9" s="4" t="s">
        <v>306</v>
      </c>
      <c r="B9" s="4" t="s">
        <v>263</v>
      </c>
      <c r="C9" s="4" t="s">
        <v>32</v>
      </c>
      <c r="D9" s="4" t="s">
        <v>307</v>
      </c>
      <c r="E9" s="4" t="s">
        <v>308</v>
      </c>
      <c r="F9" s="4" t="s">
        <v>266</v>
      </c>
      <c r="G9" s="4" t="s">
        <v>56</v>
      </c>
      <c r="H9" s="4" t="s">
        <v>309</v>
      </c>
      <c r="I9" s="4"/>
      <c r="J9" s="4" t="s">
        <v>275</v>
      </c>
      <c r="K9" s="4"/>
    </row>
    <row r="10" spans="1:11" x14ac:dyDescent="0.35">
      <c r="A10" s="4" t="s">
        <v>310</v>
      </c>
      <c r="B10" s="4" t="s">
        <v>311</v>
      </c>
      <c r="C10" s="4" t="s">
        <v>32</v>
      </c>
      <c r="D10" s="4" t="s">
        <v>312</v>
      </c>
      <c r="E10" s="4" t="s">
        <v>313</v>
      </c>
      <c r="F10" s="4" t="s">
        <v>314</v>
      </c>
      <c r="G10" s="4" t="s">
        <v>56</v>
      </c>
      <c r="H10" s="4" t="s">
        <v>315</v>
      </c>
      <c r="I10" s="4"/>
      <c r="J10" s="4" t="s">
        <v>275</v>
      </c>
      <c r="K10" s="4"/>
    </row>
    <row r="11" spans="1:11" x14ac:dyDescent="0.35">
      <c r="A11" s="4" t="s">
        <v>316</v>
      </c>
      <c r="B11" s="4" t="s">
        <v>311</v>
      </c>
      <c r="C11" s="4" t="s">
        <v>46</v>
      </c>
      <c r="D11" s="4" t="s">
        <v>317</v>
      </c>
      <c r="E11" s="4" t="s">
        <v>318</v>
      </c>
      <c r="F11" s="4" t="s">
        <v>319</v>
      </c>
      <c r="G11" s="4" t="s">
        <v>56</v>
      </c>
      <c r="H11" s="4" t="s">
        <v>320</v>
      </c>
      <c r="I11" s="4"/>
      <c r="J11" s="4" t="s">
        <v>275</v>
      </c>
      <c r="K11" s="4"/>
    </row>
    <row r="12" spans="1:11" x14ac:dyDescent="0.35">
      <c r="A12" s="4" t="s">
        <v>321</v>
      </c>
      <c r="B12" s="4" t="s">
        <v>311</v>
      </c>
      <c r="C12" s="4" t="s">
        <v>46</v>
      </c>
      <c r="D12" s="4" t="s">
        <v>322</v>
      </c>
      <c r="E12" s="4" t="s">
        <v>323</v>
      </c>
      <c r="F12" s="4" t="s">
        <v>324</v>
      </c>
      <c r="G12" s="4" t="s">
        <v>56</v>
      </c>
      <c r="H12" s="4" t="s">
        <v>325</v>
      </c>
      <c r="I12" s="4"/>
      <c r="J12" s="4" t="s">
        <v>275</v>
      </c>
      <c r="K12" s="4"/>
    </row>
    <row r="13" spans="1:11" ht="29" x14ac:dyDescent="0.35">
      <c r="A13" s="4" t="s">
        <v>326</v>
      </c>
      <c r="B13" s="4" t="s">
        <v>194</v>
      </c>
      <c r="C13" s="4" t="s">
        <v>32</v>
      </c>
      <c r="D13" s="4" t="s">
        <v>327</v>
      </c>
      <c r="E13" s="4" t="s">
        <v>328</v>
      </c>
      <c r="F13" s="4" t="s">
        <v>329</v>
      </c>
      <c r="G13" s="4" t="s">
        <v>56</v>
      </c>
      <c r="H13" s="4" t="s">
        <v>330</v>
      </c>
      <c r="I13" s="4"/>
      <c r="J13" s="4" t="s">
        <v>275</v>
      </c>
      <c r="K13" s="4"/>
    </row>
    <row r="14" spans="1:11" ht="29" x14ac:dyDescent="0.35">
      <c r="A14" s="4" t="s">
        <v>331</v>
      </c>
      <c r="B14" s="4" t="s">
        <v>194</v>
      </c>
      <c r="C14" s="4" t="s">
        <v>46</v>
      </c>
      <c r="D14" s="4" t="s">
        <v>332</v>
      </c>
      <c r="E14" s="4" t="s">
        <v>333</v>
      </c>
      <c r="F14" s="4" t="s">
        <v>334</v>
      </c>
      <c r="G14" s="4" t="s">
        <v>56</v>
      </c>
      <c r="H14" s="4" t="s">
        <v>335</v>
      </c>
      <c r="I14" s="4"/>
      <c r="J14" s="4" t="s">
        <v>275</v>
      </c>
      <c r="K14" s="4"/>
    </row>
    <row r="15" spans="1:11" ht="29" x14ac:dyDescent="0.35">
      <c r="A15" s="4" t="s">
        <v>336</v>
      </c>
      <c r="B15" s="4" t="s">
        <v>194</v>
      </c>
      <c r="C15" s="4" t="s">
        <v>85</v>
      </c>
      <c r="D15" s="4" t="s">
        <v>337</v>
      </c>
      <c r="E15" s="4" t="s">
        <v>338</v>
      </c>
      <c r="F15" s="4" t="s">
        <v>339</v>
      </c>
      <c r="G15" s="4" t="s">
        <v>56</v>
      </c>
      <c r="H15" s="4" t="s">
        <v>340</v>
      </c>
      <c r="I15" s="4"/>
      <c r="J15" s="4" t="s">
        <v>275</v>
      </c>
      <c r="K15" s="4"/>
    </row>
    <row r="16" spans="1:11" ht="58" x14ac:dyDescent="0.35">
      <c r="A16" s="4" t="s">
        <v>341</v>
      </c>
      <c r="B16" s="4" t="s">
        <v>252</v>
      </c>
      <c r="C16" s="4" t="s">
        <v>32</v>
      </c>
      <c r="D16" s="4" t="s">
        <v>342</v>
      </c>
      <c r="E16" s="4" t="s">
        <v>66</v>
      </c>
      <c r="F16" s="4" t="s">
        <v>343</v>
      </c>
      <c r="G16" s="4" t="s">
        <v>56</v>
      </c>
      <c r="H16" s="4" t="s">
        <v>344</v>
      </c>
      <c r="I16" s="4"/>
      <c r="J16" s="4" t="s">
        <v>275</v>
      </c>
      <c r="K16" s="4"/>
    </row>
    <row r="17" spans="1:11" ht="29" x14ac:dyDescent="0.35">
      <c r="A17" s="4" t="s">
        <v>345</v>
      </c>
      <c r="B17" s="4" t="s">
        <v>252</v>
      </c>
      <c r="C17" s="4" t="s">
        <v>46</v>
      </c>
      <c r="D17" s="4" t="s">
        <v>346</v>
      </c>
      <c r="E17" s="4" t="s">
        <v>347</v>
      </c>
      <c r="F17" s="4" t="s">
        <v>348</v>
      </c>
      <c r="G17" s="4" t="s">
        <v>56</v>
      </c>
      <c r="H17" s="4" t="s">
        <v>349</v>
      </c>
      <c r="I17" s="4"/>
      <c r="J17" s="4" t="s">
        <v>275</v>
      </c>
      <c r="K17" s="4"/>
    </row>
    <row r="18" spans="1:11" ht="43.5" x14ac:dyDescent="0.35">
      <c r="A18" s="4" t="s">
        <v>350</v>
      </c>
      <c r="B18" s="4" t="s">
        <v>351</v>
      </c>
      <c r="C18" s="4" t="s">
        <v>32</v>
      </c>
      <c r="D18" s="4" t="s">
        <v>352</v>
      </c>
      <c r="E18" s="4" t="s">
        <v>66</v>
      </c>
      <c r="F18" s="4" t="s">
        <v>353</v>
      </c>
      <c r="G18" s="4" t="s">
        <v>56</v>
      </c>
      <c r="H18" s="4" t="s">
        <v>354</v>
      </c>
      <c r="I18" s="4"/>
      <c r="J18" s="4" t="s">
        <v>275</v>
      </c>
      <c r="K18" s="4" t="s">
        <v>355</v>
      </c>
    </row>
    <row r="19" spans="1:11" x14ac:dyDescent="0.35">
      <c r="A19" s="4" t="s">
        <v>356</v>
      </c>
      <c r="B19" s="4" t="s">
        <v>351</v>
      </c>
      <c r="C19" s="4" t="s">
        <v>46</v>
      </c>
      <c r="D19" s="4" t="s">
        <v>357</v>
      </c>
      <c r="E19" s="4" t="s">
        <v>358</v>
      </c>
      <c r="F19" s="4" t="s">
        <v>359</v>
      </c>
      <c r="G19" s="4" t="s">
        <v>56</v>
      </c>
      <c r="H19" s="4" t="s">
        <v>360</v>
      </c>
      <c r="I19" s="4"/>
      <c r="J19" s="4" t="s">
        <v>275</v>
      </c>
      <c r="K19" s="4"/>
    </row>
    <row r="20" spans="1:11" x14ac:dyDescent="0.35">
      <c r="A20" s="4" t="s">
        <v>361</v>
      </c>
      <c r="B20" s="4" t="s">
        <v>71</v>
      </c>
      <c r="C20" s="4" t="s">
        <v>32</v>
      </c>
      <c r="D20" s="4" t="s">
        <v>362</v>
      </c>
      <c r="E20" s="4" t="s">
        <v>66</v>
      </c>
      <c r="F20" s="4" t="s">
        <v>363</v>
      </c>
      <c r="G20" s="4" t="s">
        <v>56</v>
      </c>
      <c r="H20" s="4" t="s">
        <v>364</v>
      </c>
      <c r="I20" s="4"/>
      <c r="J20" s="4" t="s">
        <v>275</v>
      </c>
      <c r="K20" s="4"/>
    </row>
    <row r="21" spans="1:11" ht="29" x14ac:dyDescent="0.35">
      <c r="A21" s="4" t="s">
        <v>365</v>
      </c>
      <c r="B21" s="4" t="s">
        <v>366</v>
      </c>
      <c r="C21" s="4" t="s">
        <v>46</v>
      </c>
      <c r="D21" s="4" t="s">
        <v>367</v>
      </c>
      <c r="E21" s="4" t="s">
        <v>368</v>
      </c>
      <c r="F21" s="4" t="s">
        <v>369</v>
      </c>
      <c r="G21" s="4" t="s">
        <v>56</v>
      </c>
      <c r="H21" s="4" t="s">
        <v>370</v>
      </c>
      <c r="I21" s="4"/>
      <c r="J21" s="4" t="s">
        <v>275</v>
      </c>
      <c r="K21" s="4"/>
    </row>
    <row r="22" spans="1:11" x14ac:dyDescent="0.35">
      <c r="A22" s="4" t="s">
        <v>371</v>
      </c>
      <c r="B22" s="4" t="s">
        <v>372</v>
      </c>
      <c r="C22" s="4" t="s">
        <v>46</v>
      </c>
      <c r="D22" s="4" t="s">
        <v>373</v>
      </c>
      <c r="E22" s="4" t="s">
        <v>374</v>
      </c>
      <c r="F22" s="4" t="s">
        <v>375</v>
      </c>
      <c r="G22" s="4" t="s">
        <v>56</v>
      </c>
      <c r="H22" s="4" t="s">
        <v>376</v>
      </c>
      <c r="I22" s="4"/>
      <c r="J22" s="4" t="s">
        <v>275</v>
      </c>
      <c r="K22" s="4"/>
    </row>
    <row r="23" spans="1:11" ht="29" x14ac:dyDescent="0.35">
      <c r="A23" s="4" t="s">
        <v>377</v>
      </c>
      <c r="B23" s="4" t="s">
        <v>372</v>
      </c>
      <c r="C23" s="4" t="s">
        <v>32</v>
      </c>
      <c r="D23" s="4" t="s">
        <v>378</v>
      </c>
      <c r="E23" s="4" t="s">
        <v>379</v>
      </c>
      <c r="F23" s="4" t="s">
        <v>380</v>
      </c>
      <c r="G23" s="4" t="s">
        <v>56</v>
      </c>
      <c r="H23" s="4" t="s">
        <v>381</v>
      </c>
      <c r="I23" s="4"/>
      <c r="J23" s="4" t="s">
        <v>275</v>
      </c>
      <c r="K23" s="4" t="s">
        <v>382</v>
      </c>
    </row>
  </sheetData>
  <autoFilter ref="A2:K2" xr:uid="{BEA04317-E275-4EA0-8A02-2FCFB75F875C}"/>
  <mergeCells count="1">
    <mergeCell ref="A1:K1"/>
  </mergeCells>
  <dataValidations count="1">
    <dataValidation type="list" allowBlank="1" showInputMessage="1" showErrorMessage="1" sqref="J3:J23" xr:uid="{067E4F64-6499-40D4-935A-5A571942FE59}">
      <formula1>"Not Run,Pass,Fail,Blocked"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E265-980F-4B4D-A324-41C2321620C0}">
  <dimension ref="A1:F6"/>
  <sheetViews>
    <sheetView workbookViewId="0"/>
  </sheetViews>
  <sheetFormatPr defaultRowHeight="14.5" x14ac:dyDescent="0.35"/>
  <cols>
    <col min="1" max="1" width="16.6328125" customWidth="1"/>
    <col min="2" max="6" width="10.6328125" customWidth="1"/>
  </cols>
  <sheetData>
    <row r="1" spans="1:6" ht="18.5" x14ac:dyDescent="0.45">
      <c r="A1" s="5" t="s">
        <v>383</v>
      </c>
    </row>
    <row r="3" spans="1:6" x14ac:dyDescent="0.35">
      <c r="A3" s="6" t="s">
        <v>384</v>
      </c>
      <c r="B3" s="6" t="s">
        <v>385</v>
      </c>
      <c r="C3" s="6" t="s">
        <v>386</v>
      </c>
      <c r="D3" s="6" t="s">
        <v>387</v>
      </c>
      <c r="E3" s="6" t="s">
        <v>388</v>
      </c>
      <c r="F3" s="6" t="s">
        <v>275</v>
      </c>
    </row>
    <row r="4" spans="1:6" x14ac:dyDescent="0.35">
      <c r="A4" s="7" t="s">
        <v>389</v>
      </c>
      <c r="B4" s="7">
        <f>COUNTA('Web Portal'!A3:A1000)</f>
        <v>42</v>
      </c>
      <c r="C4" s="7">
        <f>COUNTIF('Web Portal'!J3:J1000,"Pass")</f>
        <v>0</v>
      </c>
      <c r="D4" s="7">
        <f>COUNTIF('Web Portal'!J3:J1000,"Fail")</f>
        <v>0</v>
      </c>
      <c r="E4" s="7">
        <f>COUNTIF('Web Portal'!J3:J1000,"Blocked")</f>
        <v>0</v>
      </c>
      <c r="F4" s="7">
        <f>COUNTIF('Web Portal'!J3:J1000,"Not Run")</f>
        <v>42</v>
      </c>
    </row>
    <row r="5" spans="1:6" x14ac:dyDescent="0.35">
      <c r="A5" s="7" t="s">
        <v>390</v>
      </c>
      <c r="B5" s="7">
        <f>COUNTA('Mobile App'!A3:A1000)</f>
        <v>21</v>
      </c>
      <c r="C5" s="7">
        <f>COUNTIF('Mobile App'!J3:J1000,"Pass")</f>
        <v>0</v>
      </c>
      <c r="D5" s="7">
        <f>COUNTIF('Mobile App'!J3:J1000,"Fail")</f>
        <v>0</v>
      </c>
      <c r="E5" s="7">
        <f>COUNTIF('Mobile App'!J3:J1000,"Blocked")</f>
        <v>0</v>
      </c>
      <c r="F5" s="7">
        <f>COUNTIF('Mobile App'!J3:J1000,"Not Run")</f>
        <v>21</v>
      </c>
    </row>
    <row r="6" spans="1:6" x14ac:dyDescent="0.35">
      <c r="A6" s="6" t="s">
        <v>391</v>
      </c>
      <c r="B6" s="6">
        <f>SUM(B4:B5)</f>
        <v>63</v>
      </c>
      <c r="C6" s="6">
        <f>SUM(C4:C5)</f>
        <v>0</v>
      </c>
      <c r="D6" s="6">
        <f>SUM(D4:D5)</f>
        <v>0</v>
      </c>
      <c r="E6" s="6">
        <f>SUM(E4:E5)</f>
        <v>0</v>
      </c>
      <c r="F6" s="6">
        <f>SUM(F4:F5)</f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Web Portal</vt:lpstr>
      <vt:lpstr>Mobile App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Shankar</dc:creator>
  <cp:lastModifiedBy>Ravi Shankar</cp:lastModifiedBy>
  <dcterms:created xsi:type="dcterms:W3CDTF">2026-07-02T22:25:19Z</dcterms:created>
  <dcterms:modified xsi:type="dcterms:W3CDTF">2026-07-02T22:25:24Z</dcterms:modified>
</cp:coreProperties>
</file>